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gramming\GitHub\Andrej123456789\resin_toxicity\analysis\"/>
    </mc:Choice>
  </mc:AlternateContent>
  <xr:revisionPtr revIDLastSave="0" documentId="13_ncr:1_{DE95A5E9-F5A8-4475-917D-9AA00F69247D}" xr6:coauthVersionLast="47" xr6:coauthVersionMax="47" xr10:uidLastSave="{00000000-0000-0000-0000-000000000000}"/>
  <bookViews>
    <workbookView xWindow="-120" yWindow="-120" windowWidth="29040" windowHeight="15720" xr2:uid="{F8E41898-75A1-4239-8780-4B794CFFF2D9}"/>
  </bookViews>
  <sheets>
    <sheet name="Tablica" sheetId="2" r:id="rId1"/>
    <sheet name="Mitotski indeks" sheetId="3" r:id="rId2"/>
    <sheet name="Mutacije" sheetId="6" r:id="rId3"/>
    <sheet name="Interfazne vakuole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6" l="1"/>
  <c r="L2" i="6"/>
  <c r="M2" i="6"/>
  <c r="N2" i="6"/>
  <c r="O2" i="6"/>
  <c r="P2" i="6"/>
  <c r="Q2" i="6"/>
  <c r="J2" i="6"/>
  <c r="H3" i="6"/>
  <c r="H4" i="6"/>
  <c r="H5" i="6"/>
  <c r="H6" i="6"/>
  <c r="H2" i="6"/>
  <c r="G3" i="6"/>
  <c r="G4" i="6"/>
  <c r="G5" i="6"/>
  <c r="G6" i="6"/>
  <c r="G2" i="6"/>
  <c r="F3" i="6"/>
  <c r="F4" i="6"/>
  <c r="F5" i="6"/>
  <c r="F6" i="6"/>
  <c r="F2" i="6"/>
  <c r="E3" i="6"/>
  <c r="E4" i="6"/>
  <c r="E6" i="6"/>
  <c r="E2" i="6"/>
  <c r="D3" i="6"/>
  <c r="D4" i="6"/>
  <c r="D5" i="6"/>
  <c r="D6" i="6"/>
  <c r="D2" i="6"/>
  <c r="C3" i="6"/>
  <c r="C4" i="6"/>
  <c r="C5" i="6"/>
  <c r="C6" i="6"/>
  <c r="C2" i="6"/>
  <c r="B3" i="6"/>
  <c r="B4" i="6"/>
  <c r="B5" i="6"/>
  <c r="B2" i="6"/>
  <c r="A3" i="6"/>
  <c r="A4" i="6"/>
  <c r="A5" i="6"/>
  <c r="A6" i="6"/>
  <c r="A2" i="6"/>
  <c r="K2" i="5"/>
  <c r="L2" i="5"/>
  <c r="M2" i="5"/>
  <c r="N2" i="5"/>
  <c r="O2" i="5"/>
  <c r="P2" i="5"/>
  <c r="Q2" i="5"/>
  <c r="J2" i="5"/>
  <c r="K2" i="3"/>
  <c r="L2" i="3"/>
  <c r="M2" i="3"/>
  <c r="N2" i="3"/>
  <c r="O2" i="3"/>
  <c r="P2" i="3"/>
  <c r="Q2" i="3"/>
  <c r="J2" i="3"/>
  <c r="H3" i="5" l="1"/>
  <c r="H4" i="5"/>
  <c r="H5" i="5"/>
  <c r="H6" i="5"/>
  <c r="H2" i="5"/>
  <c r="G3" i="5"/>
  <c r="G4" i="5"/>
  <c r="G5" i="5"/>
  <c r="G6" i="5"/>
  <c r="G2" i="5"/>
  <c r="F3" i="5"/>
  <c r="F4" i="5"/>
  <c r="F5" i="5"/>
  <c r="F6" i="5"/>
  <c r="F2" i="5"/>
  <c r="E3" i="5"/>
  <c r="E4" i="5"/>
  <c r="E6" i="5"/>
  <c r="E2" i="5"/>
  <c r="D3" i="5"/>
  <c r="D4" i="5"/>
  <c r="D5" i="5"/>
  <c r="D6" i="5"/>
  <c r="D2" i="5"/>
  <c r="C3" i="5"/>
  <c r="C4" i="5"/>
  <c r="C5" i="5"/>
  <c r="C6" i="5"/>
  <c r="C2" i="5"/>
  <c r="B3" i="5"/>
  <c r="B4" i="5"/>
  <c r="B5" i="5"/>
  <c r="B2" i="5"/>
  <c r="A3" i="5"/>
  <c r="A4" i="5"/>
  <c r="A5" i="5"/>
  <c r="A6" i="5"/>
  <c r="A2" i="5"/>
  <c r="H3" i="3"/>
  <c r="H4" i="3"/>
  <c r="H5" i="3"/>
  <c r="H6" i="3"/>
  <c r="H2" i="3"/>
  <c r="G3" i="3"/>
  <c r="G4" i="3"/>
  <c r="G5" i="3"/>
  <c r="G6" i="3"/>
  <c r="G2" i="3"/>
  <c r="F3" i="3"/>
  <c r="F4" i="3"/>
  <c r="F5" i="3"/>
  <c r="F6" i="3"/>
  <c r="F2" i="3"/>
  <c r="E3" i="3"/>
  <c r="E4" i="3"/>
  <c r="E6" i="3"/>
  <c r="E2" i="3"/>
  <c r="D3" i="3"/>
  <c r="D4" i="3"/>
  <c r="D5" i="3"/>
  <c r="D6" i="3"/>
  <c r="D2" i="3"/>
  <c r="C3" i="3"/>
  <c r="C4" i="3"/>
  <c r="C5" i="3"/>
  <c r="C6" i="3"/>
  <c r="C2" i="3"/>
  <c r="B3" i="3"/>
  <c r="B4" i="3"/>
  <c r="B5" i="3"/>
  <c r="B2" i="3"/>
  <c r="A6" i="3"/>
  <c r="A5" i="3"/>
  <c r="A4" i="3"/>
  <c r="A3" i="3"/>
  <c r="A2" i="3"/>
  <c r="S30" i="2"/>
  <c r="G36" i="2"/>
  <c r="G32" i="2"/>
  <c r="G3" i="2" l="1"/>
  <c r="H3" i="2" s="1"/>
  <c r="G4" i="2"/>
  <c r="H4" i="2" s="1"/>
  <c r="G5" i="2"/>
  <c r="O5" i="2" s="1"/>
  <c r="S9" i="2"/>
  <c r="S10" i="2"/>
  <c r="S11" i="2"/>
  <c r="S12" i="2"/>
  <c r="S13" i="2"/>
  <c r="S37" i="2"/>
  <c r="S45" i="2"/>
  <c r="S47" i="2"/>
  <c r="Q13" i="2"/>
  <c r="Q47" i="2"/>
  <c r="H10" i="2"/>
  <c r="H11" i="2"/>
  <c r="H13" i="2"/>
  <c r="H35" i="2"/>
  <c r="H36" i="2"/>
  <c r="H37" i="2"/>
  <c r="O36" i="2"/>
  <c r="O37" i="2"/>
  <c r="M50" i="2"/>
  <c r="L50" i="2"/>
  <c r="K50" i="2"/>
  <c r="J50" i="2"/>
  <c r="N50" i="2" s="1"/>
  <c r="I50" i="2"/>
  <c r="M44" i="2"/>
  <c r="L44" i="2"/>
  <c r="K44" i="2"/>
  <c r="J44" i="2"/>
  <c r="I44" i="2"/>
  <c r="M38" i="2"/>
  <c r="L38" i="2"/>
  <c r="K38" i="2"/>
  <c r="J38" i="2"/>
  <c r="I38" i="2"/>
  <c r="M32" i="2"/>
  <c r="L32" i="2"/>
  <c r="K32" i="2"/>
  <c r="J32" i="2"/>
  <c r="I32" i="2"/>
  <c r="M26" i="2"/>
  <c r="L26" i="2"/>
  <c r="K26" i="2"/>
  <c r="J26" i="2"/>
  <c r="I26" i="2"/>
  <c r="M20" i="2"/>
  <c r="L20" i="2"/>
  <c r="K20" i="2"/>
  <c r="J20" i="2"/>
  <c r="I20" i="2"/>
  <c r="N20" i="2" s="1"/>
  <c r="M14" i="2"/>
  <c r="L14" i="2"/>
  <c r="K14" i="2"/>
  <c r="J14" i="2"/>
  <c r="I14" i="2"/>
  <c r="J8" i="2"/>
  <c r="K8" i="2"/>
  <c r="L8" i="2"/>
  <c r="M8" i="2"/>
  <c r="I8" i="2"/>
  <c r="N5" i="2"/>
  <c r="N6" i="2"/>
  <c r="N7" i="2"/>
  <c r="N9" i="2"/>
  <c r="N10" i="2"/>
  <c r="O10" i="2" s="1"/>
  <c r="N11" i="2"/>
  <c r="O11" i="2" s="1"/>
  <c r="N12" i="2"/>
  <c r="O12" i="2" s="1"/>
  <c r="N13" i="2"/>
  <c r="O13" i="2" s="1"/>
  <c r="N15" i="2"/>
  <c r="N16" i="2"/>
  <c r="N17" i="2"/>
  <c r="N18" i="2"/>
  <c r="N19" i="2"/>
  <c r="N21" i="2"/>
  <c r="N22" i="2"/>
  <c r="N23" i="2"/>
  <c r="N24" i="2"/>
  <c r="N25" i="2"/>
  <c r="N27" i="2"/>
  <c r="N28" i="2"/>
  <c r="N29" i="2"/>
  <c r="N30" i="2"/>
  <c r="N31" i="2"/>
  <c r="N33" i="2"/>
  <c r="N34" i="2"/>
  <c r="N35" i="2"/>
  <c r="N36" i="2"/>
  <c r="N37" i="2"/>
  <c r="N39" i="2"/>
  <c r="N40" i="2"/>
  <c r="N41" i="2"/>
  <c r="N42" i="2"/>
  <c r="N43" i="2"/>
  <c r="N45" i="2"/>
  <c r="N46" i="2"/>
  <c r="N47" i="2"/>
  <c r="N48" i="2"/>
  <c r="N49" i="2"/>
  <c r="N4" i="2"/>
  <c r="N3" i="2"/>
  <c r="R50" i="2"/>
  <c r="R44" i="2"/>
  <c r="R38" i="2"/>
  <c r="R32" i="2"/>
  <c r="R26" i="2"/>
  <c r="R20" i="2"/>
  <c r="R14" i="2"/>
  <c r="R8" i="2"/>
  <c r="P50" i="2"/>
  <c r="P44" i="2"/>
  <c r="P38" i="2"/>
  <c r="P32" i="2"/>
  <c r="P26" i="2"/>
  <c r="P20" i="2"/>
  <c r="P14" i="2"/>
  <c r="P8" i="2"/>
  <c r="F50" i="2"/>
  <c r="E50" i="2"/>
  <c r="D50" i="2"/>
  <c r="C50" i="2"/>
  <c r="B50" i="2"/>
  <c r="F44" i="2"/>
  <c r="E44" i="2"/>
  <c r="D44" i="2"/>
  <c r="C44" i="2"/>
  <c r="B44" i="2"/>
  <c r="F38" i="2"/>
  <c r="E38" i="2"/>
  <c r="D38" i="2"/>
  <c r="C38" i="2"/>
  <c r="B38" i="2"/>
  <c r="F32" i="2"/>
  <c r="E32" i="2"/>
  <c r="D32" i="2"/>
  <c r="C32" i="2"/>
  <c r="B32" i="2"/>
  <c r="F26" i="2"/>
  <c r="E26" i="2"/>
  <c r="D26" i="2"/>
  <c r="C26" i="2"/>
  <c r="B26" i="2"/>
  <c r="F20" i="2"/>
  <c r="E20" i="2"/>
  <c r="D20" i="2"/>
  <c r="C20" i="2"/>
  <c r="B20" i="2"/>
  <c r="F14" i="2"/>
  <c r="E14" i="2"/>
  <c r="D14" i="2"/>
  <c r="C14" i="2"/>
  <c r="B14" i="2"/>
  <c r="F8" i="2"/>
  <c r="E8" i="2"/>
  <c r="D8" i="2"/>
  <c r="C8" i="2"/>
  <c r="B8" i="2"/>
  <c r="G6" i="2"/>
  <c r="O6" i="2" s="1"/>
  <c r="G7" i="2"/>
  <c r="H7" i="2" s="1"/>
  <c r="G9" i="2"/>
  <c r="O9" i="2" s="1"/>
  <c r="G10" i="2"/>
  <c r="Q10" i="2" s="1"/>
  <c r="G11" i="2"/>
  <c r="Q11" i="2" s="1"/>
  <c r="G12" i="2"/>
  <c r="Q12" i="2" s="1"/>
  <c r="G13" i="2"/>
  <c r="G15" i="2"/>
  <c r="Q15" i="2" s="1"/>
  <c r="G16" i="2"/>
  <c r="S16" i="2" s="1"/>
  <c r="G17" i="2"/>
  <c r="S17" i="2" s="1"/>
  <c r="G18" i="2"/>
  <c r="O18" i="2" s="1"/>
  <c r="G19" i="2"/>
  <c r="H19" i="2" s="1"/>
  <c r="G21" i="2"/>
  <c r="O21" i="2" s="1"/>
  <c r="G22" i="2"/>
  <c r="O22" i="2" s="1"/>
  <c r="G23" i="2"/>
  <c r="Q23" i="2" s="1"/>
  <c r="G24" i="2"/>
  <c r="H24" i="2" s="1"/>
  <c r="G25" i="2"/>
  <c r="H25" i="2" s="1"/>
  <c r="G27" i="2"/>
  <c r="H27" i="2" s="1"/>
  <c r="G28" i="2"/>
  <c r="Q28" i="2" s="1"/>
  <c r="G29" i="2"/>
  <c r="Q29" i="2" s="1"/>
  <c r="G30" i="2"/>
  <c r="O30" i="2" s="1"/>
  <c r="G31" i="2"/>
  <c r="Q31" i="2" s="1"/>
  <c r="G33" i="2"/>
  <c r="S33" i="2" s="1"/>
  <c r="G34" i="2"/>
  <c r="H34" i="2" s="1"/>
  <c r="G35" i="2"/>
  <c r="S35" i="2" s="1"/>
  <c r="S36" i="2"/>
  <c r="G37" i="2"/>
  <c r="Q37" i="2" s="1"/>
  <c r="G39" i="2"/>
  <c r="O39" i="2" s="1"/>
  <c r="G40" i="2"/>
  <c r="O40" i="2" s="1"/>
  <c r="G41" i="2"/>
  <c r="H41" i="2" s="1"/>
  <c r="G42" i="2"/>
  <c r="Q42" i="2" s="1"/>
  <c r="G43" i="2"/>
  <c r="Q43" i="2" s="1"/>
  <c r="G45" i="2"/>
  <c r="Q45" i="2" s="1"/>
  <c r="G46" i="2"/>
  <c r="H46" i="2" s="1"/>
  <c r="G47" i="2"/>
  <c r="H47" i="2" s="1"/>
  <c r="G48" i="2"/>
  <c r="H48" i="2" s="1"/>
  <c r="G49" i="2"/>
  <c r="S49" i="2" s="1"/>
  <c r="N38" i="2" l="1"/>
  <c r="N26" i="2"/>
  <c r="N14" i="2"/>
  <c r="N44" i="2"/>
  <c r="N32" i="2"/>
  <c r="Q36" i="2"/>
  <c r="Q35" i="2"/>
  <c r="O35" i="2"/>
  <c r="Q34" i="2"/>
  <c r="O34" i="2"/>
  <c r="S34" i="2"/>
  <c r="O33" i="2"/>
  <c r="Q33" i="2"/>
  <c r="H33" i="2"/>
  <c r="O43" i="2"/>
  <c r="H43" i="2"/>
  <c r="S43" i="2"/>
  <c r="H42" i="2"/>
  <c r="O42" i="2"/>
  <c r="S42" i="2"/>
  <c r="Q41" i="2"/>
  <c r="O41" i="2"/>
  <c r="S41" i="2"/>
  <c r="S40" i="2"/>
  <c r="Q40" i="2"/>
  <c r="H40" i="2"/>
  <c r="G44" i="2"/>
  <c r="S39" i="2"/>
  <c r="H39" i="2"/>
  <c r="Q39" i="2"/>
  <c r="Q49" i="2"/>
  <c r="O49" i="2"/>
  <c r="H49" i="2"/>
  <c r="S48" i="2"/>
  <c r="Q48" i="2"/>
  <c r="O48" i="2"/>
  <c r="O47" i="2"/>
  <c r="S46" i="2"/>
  <c r="O46" i="2"/>
  <c r="Q46" i="2"/>
  <c r="G50" i="2"/>
  <c r="O50" i="2" s="1"/>
  <c r="O45" i="2"/>
  <c r="H45" i="2"/>
  <c r="H12" i="2"/>
  <c r="H9" i="2"/>
  <c r="Q9" i="2"/>
  <c r="O19" i="2"/>
  <c r="Q19" i="2"/>
  <c r="S19" i="2"/>
  <c r="Q18" i="2"/>
  <c r="S18" i="2"/>
  <c r="H18" i="2"/>
  <c r="Q17" i="2"/>
  <c r="H17" i="2"/>
  <c r="O17" i="2"/>
  <c r="Q16" i="2"/>
  <c r="H16" i="2"/>
  <c r="O16" i="2"/>
  <c r="G20" i="2"/>
  <c r="O20" i="2" s="1"/>
  <c r="O15" i="2"/>
  <c r="S15" i="2"/>
  <c r="H15" i="2"/>
  <c r="S31" i="2"/>
  <c r="H31" i="2"/>
  <c r="O31" i="2"/>
  <c r="Q30" i="2"/>
  <c r="H30" i="2"/>
  <c r="O29" i="2"/>
  <c r="H29" i="2"/>
  <c r="S29" i="2"/>
  <c r="O28" i="2"/>
  <c r="S28" i="2"/>
  <c r="H28" i="2"/>
  <c r="Q27" i="2"/>
  <c r="S27" i="2"/>
  <c r="O27" i="2"/>
  <c r="Q25" i="2"/>
  <c r="S25" i="2"/>
  <c r="O25" i="2"/>
  <c r="Q24" i="2"/>
  <c r="S24" i="2"/>
  <c r="O24" i="2"/>
  <c r="O23" i="2"/>
  <c r="S23" i="2"/>
  <c r="H23" i="2"/>
  <c r="S22" i="2"/>
  <c r="H22" i="2"/>
  <c r="Q22" i="2"/>
  <c r="H21" i="2"/>
  <c r="S21" i="2"/>
  <c r="Q21" i="2"/>
  <c r="S7" i="2"/>
  <c r="O7" i="2"/>
  <c r="Q7" i="2"/>
  <c r="S6" i="2"/>
  <c r="Q6" i="2"/>
  <c r="H6" i="2"/>
  <c r="H5" i="2"/>
  <c r="Q5" i="2"/>
  <c r="S5" i="2"/>
  <c r="O3" i="2"/>
  <c r="S4" i="2"/>
  <c r="Q4" i="2"/>
  <c r="O4" i="2"/>
  <c r="S3" i="2"/>
  <c r="Q3" i="2"/>
  <c r="N8" i="2"/>
  <c r="G14" i="2"/>
  <c r="G26" i="2"/>
  <c r="G38" i="2"/>
  <c r="G8" i="2"/>
  <c r="O38" i="2" l="1"/>
  <c r="S38" i="2"/>
  <c r="H38" i="2"/>
  <c r="Q38" i="2"/>
  <c r="O44" i="2"/>
  <c r="S44" i="2"/>
  <c r="H44" i="2"/>
  <c r="Q44" i="2"/>
  <c r="H50" i="2"/>
  <c r="Q50" i="2"/>
  <c r="S50" i="2"/>
  <c r="S14" i="2"/>
  <c r="H14" i="2"/>
  <c r="Q14" i="2"/>
  <c r="O14" i="2"/>
  <c r="Q20" i="2"/>
  <c r="H20" i="2"/>
  <c r="S20" i="2"/>
  <c r="Q32" i="2"/>
  <c r="S32" i="2"/>
  <c r="H32" i="2"/>
  <c r="O32" i="2"/>
  <c r="H26" i="2"/>
  <c r="Q26" i="2"/>
  <c r="S26" i="2"/>
  <c r="O26" i="2"/>
  <c r="H8" i="2"/>
  <c r="Q8" i="2"/>
  <c r="O8" i="2"/>
  <c r="S8" i="2"/>
</calcChain>
</file>

<file path=xl/sharedStrings.xml><?xml version="1.0" encoding="utf-8"?>
<sst xmlns="http://schemas.openxmlformats.org/spreadsheetml/2006/main" count="382" uniqueCount="102">
  <si>
    <t>Oznaka lukovice</t>
  </si>
  <si>
    <t>Faze</t>
  </si>
  <si>
    <t>Mutacije</t>
  </si>
  <si>
    <t>Ostalo</t>
  </si>
  <si>
    <t>Interfaza</t>
  </si>
  <si>
    <t>Profaza</t>
  </si>
  <si>
    <t>Metafaza</t>
  </si>
  <si>
    <t>Anafaza</t>
  </si>
  <si>
    <t>Telofaza</t>
  </si>
  <si>
    <t>Ukupno stanica</t>
  </si>
  <si>
    <t>Mitotski indeks</t>
  </si>
  <si>
    <t>Anafazni mostovi</t>
  </si>
  <si>
    <t>Lomovi kromosoma</t>
  </si>
  <si>
    <t>C-mitoza</t>
  </si>
  <si>
    <t>Ljepljivi kromosoma</t>
  </si>
  <si>
    <t>Ostale mutacije</t>
  </si>
  <si>
    <t>Ukupno mutacija</t>
  </si>
  <si>
    <t>Udio mutacija</t>
  </si>
  <si>
    <t>Mikronukelusi</t>
  </si>
  <si>
    <t>Udio mikronukleusa</t>
  </si>
  <si>
    <t>Interfazne vakuole</t>
  </si>
  <si>
    <t>Udio interfaznih vakuola</t>
  </si>
  <si>
    <t>K- a</t>
  </si>
  <si>
    <t>K- b</t>
  </si>
  <si>
    <t>K- c</t>
  </si>
  <si>
    <t>K- d</t>
  </si>
  <si>
    <t>K- e</t>
  </si>
  <si>
    <t>K-</t>
  </si>
  <si>
    <t>K+ a</t>
  </si>
  <si>
    <t>K+ b</t>
  </si>
  <si>
    <t>K+ c</t>
  </si>
  <si>
    <t>K+ d</t>
  </si>
  <si>
    <t>K+ e</t>
  </si>
  <si>
    <t>K+</t>
  </si>
  <si>
    <t>V1 a</t>
  </si>
  <si>
    <t>V1 b</t>
  </si>
  <si>
    <t>V1 c</t>
  </si>
  <si>
    <t>V1 d</t>
  </si>
  <si>
    <t>V1 e</t>
  </si>
  <si>
    <t>V1</t>
  </si>
  <si>
    <t>A1 a</t>
  </si>
  <si>
    <t>A1 b</t>
  </si>
  <si>
    <t>A1 c</t>
  </si>
  <si>
    <t>A1 d</t>
  </si>
  <si>
    <t>A1 e</t>
  </si>
  <si>
    <t>A1</t>
  </si>
  <si>
    <t>U1 a</t>
  </si>
  <si>
    <t>U1 b</t>
  </si>
  <si>
    <t>U1 c</t>
  </si>
  <si>
    <t>U1 d</t>
  </si>
  <si>
    <t>U1 e</t>
  </si>
  <si>
    <t>U1</t>
  </si>
  <si>
    <t>V2 a</t>
  </si>
  <si>
    <t>V2 b</t>
  </si>
  <si>
    <t>V2 c</t>
  </si>
  <si>
    <t>V2 d</t>
  </si>
  <si>
    <t>V2 e</t>
  </si>
  <si>
    <t>V2</t>
  </si>
  <si>
    <t>A2 a</t>
  </si>
  <si>
    <t>A2 b</t>
  </si>
  <si>
    <t>A2 c</t>
  </si>
  <si>
    <t>A2 d</t>
  </si>
  <si>
    <t>A2 e</t>
  </si>
  <si>
    <t>A2</t>
  </si>
  <si>
    <t>U2 a</t>
  </si>
  <si>
    <t>U2 b</t>
  </si>
  <si>
    <t>U2 c</t>
  </si>
  <si>
    <t>U2 d</t>
  </si>
  <si>
    <t>U2 e</t>
  </si>
  <si>
    <t>U2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</si>
  <si>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</si>
  <si>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</si>
  <si>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</si>
  <si>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</si>
  <si>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</si>
  <si>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</si>
  <si>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</si>
  <si>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</si>
  <si>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</si>
  <si>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</si>
  <si>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</si>
  <si>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</si>
  <si>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</si>
  <si>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</si>
  <si>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</si>
  <si>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</si>
  <si>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</si>
  <si>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</si>
  <si>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</si>
  <si>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</si>
  <si>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</si>
  <si>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</si>
  <si>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</si>
  <si>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</si>
  <si>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</si>
  <si>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</si>
  <si>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Group1</t>
  </si>
  <si>
    <t>Group2</t>
  </si>
  <si>
    <t>Statistic</t>
  </si>
  <si>
    <t>PValue</t>
  </si>
  <si>
    <t>CI_Low</t>
  </si>
  <si>
    <t>CI_High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</si>
</sst>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1" fillId="0" borderId="7" xfId="0" applyFont="1" applyBorder="1"/>
    <xf numFmtId="0" fontId="1" fillId="0" borderId="6" xfId="0" applyFont="1" applyBorder="1"/>
    <xf numFmtId="0" fontId="1" fillId="0" borderId="0" xfId="0" applyFont="1"/>
    <xf numFmtId="0" fontId="1" fillId="0" borderId="1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0" xfId="0" applyFont="1" applyBorder="1" applyAlignment="1">
      <alignment horizontal="right"/>
    </xf>
    <xf numFmtId="10" fontId="1" fillId="0" borderId="8" xfId="1" applyNumberFormat="1" applyFont="1" applyBorder="1"/>
    <xf numFmtId="10" fontId="1" fillId="0" borderId="4" xfId="1" applyNumberFormat="1" applyFont="1" applyBorder="1"/>
    <xf numFmtId="10" fontId="3" fillId="0" borderId="9" xfId="1" applyNumberFormat="1" applyFont="1" applyBorder="1"/>
    <xf numFmtId="10" fontId="1" fillId="0" borderId="0" xfId="1" applyNumberFormat="1" applyFont="1"/>
    <xf numFmtId="10" fontId="3" fillId="0" borderId="10" xfId="1" applyNumberFormat="1" applyFont="1" applyBorder="1"/>
    <xf numFmtId="0" fontId="0" fillId="0" borderId="11" xfId="0" applyBorder="1"/>
    <xf numFmtId="0" fontId="4" fillId="0" borderId="12" xfId="0" applyFont="1" applyBorder="1" applyAlignment="1">
      <alignment horizontal="center"/>
    </xf>
    <xf numFmtId="0" fontId="0" fillId="0" borderId="10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Normalno" xfId="0" builtinId="0"/>
    <cellStyle name="Postotak" xfId="1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9CDA-A471-4352-AF18-DDE7548ADF85}">
  <dimension ref="A1:S50"/>
  <sheetViews>
    <sheetView tabSelected="1" workbookViewId="0">
      <selection activeCell="H26" sqref="H26"/>
    </sheetView>
  </sheetViews>
  <sheetFormatPr defaultRowHeight="15" x14ac:dyDescent="0.25"/>
  <cols>
    <col min="1" max="1" width="25.7109375" customWidth="1"/>
    <col min="2" max="2" width="15.7109375" customWidth="1"/>
    <col min="3" max="4" width="15.42578125" customWidth="1"/>
    <col min="5" max="6" width="15.7109375" customWidth="1"/>
    <col min="7" max="8" width="25.7109375" customWidth="1"/>
    <col min="9" max="13" width="20.7109375" customWidth="1"/>
    <col min="14" max="15" width="25.7109375" customWidth="1"/>
    <col min="16" max="18" width="20.7109375" customWidth="1"/>
    <col min="19" max="19" width="25.7109375" customWidth="1"/>
  </cols>
  <sheetData>
    <row r="1" spans="1:19" x14ac:dyDescent="0.25">
      <c r="A1" s="23" t="s">
        <v>0</v>
      </c>
      <c r="B1" s="20" t="s">
        <v>1</v>
      </c>
      <c r="C1" s="20"/>
      <c r="D1" s="20"/>
      <c r="E1" s="20"/>
      <c r="F1" s="20"/>
      <c r="G1" s="20"/>
      <c r="H1" s="21"/>
      <c r="I1" s="22" t="s">
        <v>2</v>
      </c>
      <c r="J1" s="20"/>
      <c r="K1" s="20"/>
      <c r="L1" s="20"/>
      <c r="M1" s="20"/>
      <c r="N1" s="20"/>
      <c r="O1" s="21"/>
      <c r="P1" s="22" t="s">
        <v>3</v>
      </c>
      <c r="Q1" s="20"/>
      <c r="R1" s="20"/>
      <c r="S1" s="21"/>
    </row>
    <row r="2" spans="1:19" x14ac:dyDescent="0.25">
      <c r="A2" s="24"/>
      <c r="B2" s="2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6" t="s">
        <v>9</v>
      </c>
      <c r="H2" s="5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6" t="s">
        <v>16</v>
      </c>
      <c r="O2" s="5" t="s">
        <v>17</v>
      </c>
      <c r="P2" s="4" t="s">
        <v>18</v>
      </c>
      <c r="Q2" s="8" t="s">
        <v>19</v>
      </c>
      <c r="R2" s="4" t="s">
        <v>20</v>
      </c>
      <c r="S2" s="5" t="s">
        <v>21</v>
      </c>
    </row>
    <row r="3" spans="1:19" x14ac:dyDescent="0.25">
      <c r="A3" s="1" t="s">
        <v>22</v>
      </c>
      <c r="B3">
        <v>377</v>
      </c>
      <c r="C3">
        <v>182</v>
      </c>
      <c r="D3">
        <v>3</v>
      </c>
      <c r="E3">
        <v>0</v>
      </c>
      <c r="F3">
        <v>1</v>
      </c>
      <c r="G3" s="7">
        <f t="shared" ref="G3:G50" si="0">SUM(B3:F3)</f>
        <v>563</v>
      </c>
      <c r="H3" s="12">
        <f>IFERROR(SUM(C3:F3)/G3,0)</f>
        <v>0.33037300177619894</v>
      </c>
      <c r="I3">
        <v>0</v>
      </c>
      <c r="J3">
        <v>0</v>
      </c>
      <c r="K3">
        <v>0</v>
      </c>
      <c r="L3">
        <v>0</v>
      </c>
      <c r="M3">
        <v>0</v>
      </c>
      <c r="N3" s="7">
        <f>SUM(I3:M3)</f>
        <v>0</v>
      </c>
      <c r="O3" s="12">
        <f>IFERROR(N3/G3,0)</f>
        <v>0</v>
      </c>
      <c r="Q3" s="15">
        <f>IFERROR(P3/G3,0)</f>
        <v>0</v>
      </c>
      <c r="R3">
        <v>40</v>
      </c>
      <c r="S3" s="12">
        <f>IFERROR(R3/G3,0)</f>
        <v>7.1047957371225573E-2</v>
      </c>
    </row>
    <row r="4" spans="1:19" x14ac:dyDescent="0.25">
      <c r="A4" s="1" t="s">
        <v>23</v>
      </c>
      <c r="B4">
        <v>472</v>
      </c>
      <c r="C4">
        <v>156</v>
      </c>
      <c r="D4">
        <v>5</v>
      </c>
      <c r="E4">
        <v>1</v>
      </c>
      <c r="F4">
        <v>0</v>
      </c>
      <c r="G4" s="7">
        <f t="shared" si="0"/>
        <v>634</v>
      </c>
      <c r="H4" s="13">
        <f>IFERROR(SUM(C4:F4)/G4,0)</f>
        <v>0.25552050473186122</v>
      </c>
      <c r="I4">
        <v>1</v>
      </c>
      <c r="J4">
        <v>0</v>
      </c>
      <c r="K4">
        <v>0</v>
      </c>
      <c r="L4">
        <v>0</v>
      </c>
      <c r="M4">
        <v>0</v>
      </c>
      <c r="N4" s="7">
        <f>SUM(I4:M4)</f>
        <v>1</v>
      </c>
      <c r="O4" s="13">
        <f>IFERROR(N4/G4,0)</f>
        <v>1.5772870662460567E-3</v>
      </c>
      <c r="Q4" s="15">
        <f>IFERROR(P4/G4,0)</f>
        <v>0</v>
      </c>
      <c r="R4">
        <v>46</v>
      </c>
      <c r="S4" s="13">
        <f>IFERROR(R4/G4,0)</f>
        <v>7.2555205047318619E-2</v>
      </c>
    </row>
    <row r="5" spans="1:19" x14ac:dyDescent="0.25">
      <c r="A5" s="1" t="s">
        <v>24</v>
      </c>
      <c r="B5">
        <v>368</v>
      </c>
      <c r="C5">
        <v>155</v>
      </c>
      <c r="D5">
        <v>3</v>
      </c>
      <c r="E5">
        <v>0</v>
      </c>
      <c r="F5">
        <v>0</v>
      </c>
      <c r="G5" s="7">
        <f t="shared" si="0"/>
        <v>526</v>
      </c>
      <c r="H5" s="13">
        <f t="shared" ref="H5:H50" si="1">IFERROR(SUM(C5:F5)/G5,0)</f>
        <v>0.30038022813688214</v>
      </c>
      <c r="I5">
        <v>0</v>
      </c>
      <c r="J5">
        <v>0</v>
      </c>
      <c r="K5">
        <v>0</v>
      </c>
      <c r="L5">
        <v>1</v>
      </c>
      <c r="M5">
        <v>0</v>
      </c>
      <c r="N5" s="7">
        <f t="shared" ref="N5:N50" si="2">SUM(I5:M5)</f>
        <v>1</v>
      </c>
      <c r="O5" s="13">
        <f t="shared" ref="O5:O50" si="3">IFERROR(N5/G5,0)</f>
        <v>1.9011406844106464E-3</v>
      </c>
      <c r="Q5" s="15">
        <f t="shared" ref="Q5:Q50" si="4">IFERROR(P5/G5,0)</f>
        <v>0</v>
      </c>
      <c r="R5">
        <v>36</v>
      </c>
      <c r="S5" s="13">
        <f t="shared" ref="S5:S50" si="5">IFERROR(R5/G5,0)</f>
        <v>6.8441064638783272E-2</v>
      </c>
    </row>
    <row r="6" spans="1:19" x14ac:dyDescent="0.25">
      <c r="A6" s="1" t="s">
        <v>25</v>
      </c>
      <c r="B6">
        <v>336</v>
      </c>
      <c r="C6">
        <v>215</v>
      </c>
      <c r="D6">
        <v>0</v>
      </c>
      <c r="E6">
        <v>1</v>
      </c>
      <c r="F6">
        <v>1</v>
      </c>
      <c r="G6" s="7">
        <f t="shared" si="0"/>
        <v>553</v>
      </c>
      <c r="H6" s="13">
        <f t="shared" si="1"/>
        <v>0.39240506329113922</v>
      </c>
      <c r="I6">
        <v>0</v>
      </c>
      <c r="J6">
        <v>0</v>
      </c>
      <c r="K6">
        <v>0</v>
      </c>
      <c r="L6">
        <v>0</v>
      </c>
      <c r="M6">
        <v>0</v>
      </c>
      <c r="N6" s="7">
        <f t="shared" si="2"/>
        <v>0</v>
      </c>
      <c r="O6" s="13">
        <f t="shared" si="3"/>
        <v>0</v>
      </c>
      <c r="Q6" s="15">
        <f t="shared" si="4"/>
        <v>0</v>
      </c>
      <c r="R6">
        <v>32</v>
      </c>
      <c r="S6" s="13">
        <f t="shared" si="5"/>
        <v>5.7866184448462928E-2</v>
      </c>
    </row>
    <row r="7" spans="1:19" x14ac:dyDescent="0.25">
      <c r="A7" s="1" t="s">
        <v>26</v>
      </c>
      <c r="B7">
        <v>289</v>
      </c>
      <c r="C7">
        <v>130</v>
      </c>
      <c r="D7">
        <v>2</v>
      </c>
      <c r="E7">
        <v>0</v>
      </c>
      <c r="F7">
        <v>1</v>
      </c>
      <c r="G7" s="7">
        <f t="shared" si="0"/>
        <v>422</v>
      </c>
      <c r="H7" s="13">
        <f t="shared" si="1"/>
        <v>0.31516587677725116</v>
      </c>
      <c r="I7">
        <v>0</v>
      </c>
      <c r="J7">
        <v>0</v>
      </c>
      <c r="K7">
        <v>0</v>
      </c>
      <c r="L7">
        <v>0</v>
      </c>
      <c r="M7">
        <v>0</v>
      </c>
      <c r="N7" s="7">
        <f t="shared" si="2"/>
        <v>0</v>
      </c>
      <c r="O7" s="13">
        <f t="shared" si="3"/>
        <v>0</v>
      </c>
      <c r="Q7" s="15">
        <f t="shared" si="4"/>
        <v>0</v>
      </c>
      <c r="R7">
        <v>18</v>
      </c>
      <c r="S7" s="13">
        <f t="shared" si="5"/>
        <v>4.2654028436018961E-2</v>
      </c>
    </row>
    <row r="8" spans="1:19" x14ac:dyDescent="0.25">
      <c r="A8" s="9" t="s">
        <v>27</v>
      </c>
      <c r="B8" s="10">
        <f>SUM(B3:B7)</f>
        <v>1842</v>
      </c>
      <c r="C8" s="10">
        <f>SUM(C3:C7)</f>
        <v>838</v>
      </c>
      <c r="D8" s="10">
        <f>SUM(D3:D7)</f>
        <v>13</v>
      </c>
      <c r="E8" s="10">
        <f>SUM(E3:E7)</f>
        <v>2</v>
      </c>
      <c r="F8" s="10">
        <f>SUM(F3:F7)</f>
        <v>3</v>
      </c>
      <c r="G8" s="11">
        <f>SUM(B8:F8)</f>
        <v>2698</v>
      </c>
      <c r="H8" s="14">
        <f t="shared" si="1"/>
        <v>0.31727205337286879</v>
      </c>
      <c r="I8" s="10">
        <f>SUM(I3:I7)</f>
        <v>1</v>
      </c>
      <c r="J8" s="10">
        <f t="shared" ref="J8:M8" si="6">SUM(J3:J7)</f>
        <v>0</v>
      </c>
      <c r="K8" s="10">
        <f t="shared" si="6"/>
        <v>0</v>
      </c>
      <c r="L8" s="10">
        <f t="shared" si="6"/>
        <v>1</v>
      </c>
      <c r="M8" s="10">
        <f t="shared" si="6"/>
        <v>0</v>
      </c>
      <c r="N8" s="10">
        <f t="shared" si="2"/>
        <v>2</v>
      </c>
      <c r="O8" s="14">
        <f t="shared" si="3"/>
        <v>7.4128984432913266E-4</v>
      </c>
      <c r="P8" s="10">
        <f>SUM(P3:P7)</f>
        <v>0</v>
      </c>
      <c r="Q8" s="16">
        <f t="shared" si="4"/>
        <v>0</v>
      </c>
      <c r="R8" s="10">
        <f>SUM(R3:R7)</f>
        <v>172</v>
      </c>
      <c r="S8" s="14">
        <f t="shared" si="5"/>
        <v>6.3750926612305414E-2</v>
      </c>
    </row>
    <row r="9" spans="1:19" x14ac:dyDescent="0.25">
      <c r="A9" s="1" t="s">
        <v>28</v>
      </c>
      <c r="B9">
        <v>430</v>
      </c>
      <c r="C9">
        <v>64</v>
      </c>
      <c r="D9">
        <v>2</v>
      </c>
      <c r="E9">
        <v>2</v>
      </c>
      <c r="F9">
        <v>2</v>
      </c>
      <c r="G9" s="7">
        <f t="shared" si="0"/>
        <v>500</v>
      </c>
      <c r="H9" s="13">
        <f t="shared" si="1"/>
        <v>0.14000000000000001</v>
      </c>
      <c r="I9">
        <v>1</v>
      </c>
      <c r="J9">
        <v>0</v>
      </c>
      <c r="K9">
        <v>0</v>
      </c>
      <c r="L9">
        <v>0</v>
      </c>
      <c r="M9">
        <v>0</v>
      </c>
      <c r="N9" s="7">
        <f t="shared" si="2"/>
        <v>1</v>
      </c>
      <c r="O9" s="13">
        <f t="shared" si="3"/>
        <v>2E-3</v>
      </c>
      <c r="Q9" s="15">
        <f t="shared" si="4"/>
        <v>0</v>
      </c>
      <c r="R9">
        <v>47</v>
      </c>
      <c r="S9" s="13">
        <f t="shared" si="5"/>
        <v>9.4E-2</v>
      </c>
    </row>
    <row r="10" spans="1:19" x14ac:dyDescent="0.25">
      <c r="A10" s="1" t="s">
        <v>29</v>
      </c>
      <c r="B10">
        <v>200</v>
      </c>
      <c r="C10">
        <v>300</v>
      </c>
      <c r="D10">
        <v>0</v>
      </c>
      <c r="E10">
        <v>0</v>
      </c>
      <c r="F10">
        <v>1</v>
      </c>
      <c r="G10" s="7">
        <f t="shared" si="0"/>
        <v>501</v>
      </c>
      <c r="H10" s="13">
        <f t="shared" si="1"/>
        <v>0.60079840319361277</v>
      </c>
      <c r="I10">
        <v>0</v>
      </c>
      <c r="J10">
        <v>0</v>
      </c>
      <c r="K10">
        <v>4</v>
      </c>
      <c r="L10">
        <v>0</v>
      </c>
      <c r="M10">
        <v>0</v>
      </c>
      <c r="N10" s="7">
        <f t="shared" si="2"/>
        <v>4</v>
      </c>
      <c r="O10" s="13">
        <f t="shared" si="3"/>
        <v>7.9840319361277438E-3</v>
      </c>
      <c r="Q10" s="15">
        <f t="shared" si="4"/>
        <v>0</v>
      </c>
      <c r="R10">
        <v>27</v>
      </c>
      <c r="S10" s="13">
        <f t="shared" si="5"/>
        <v>5.3892215568862277E-2</v>
      </c>
    </row>
    <row r="11" spans="1:19" x14ac:dyDescent="0.25">
      <c r="A11" s="1" t="s">
        <v>30</v>
      </c>
      <c r="B11">
        <v>124</v>
      </c>
      <c r="C11">
        <v>124</v>
      </c>
      <c r="D11">
        <v>0</v>
      </c>
      <c r="E11">
        <v>0</v>
      </c>
      <c r="F11">
        <v>0</v>
      </c>
      <c r="G11" s="7">
        <f t="shared" si="0"/>
        <v>248</v>
      </c>
      <c r="H11" s="13">
        <f t="shared" si="1"/>
        <v>0.5</v>
      </c>
      <c r="I11">
        <v>0</v>
      </c>
      <c r="J11">
        <v>0</v>
      </c>
      <c r="K11">
        <v>1</v>
      </c>
      <c r="L11">
        <v>0</v>
      </c>
      <c r="M11">
        <v>0</v>
      </c>
      <c r="N11" s="7">
        <f t="shared" si="2"/>
        <v>1</v>
      </c>
      <c r="O11" s="13">
        <f t="shared" si="3"/>
        <v>4.0322580645161289E-3</v>
      </c>
      <c r="Q11" s="15">
        <f t="shared" si="4"/>
        <v>0</v>
      </c>
      <c r="R11">
        <v>40</v>
      </c>
      <c r="S11" s="13">
        <f t="shared" si="5"/>
        <v>0.16129032258064516</v>
      </c>
    </row>
    <row r="12" spans="1:19" x14ac:dyDescent="0.25">
      <c r="A12" s="1" t="s">
        <v>31</v>
      </c>
      <c r="B12">
        <v>25</v>
      </c>
      <c r="C12">
        <v>102</v>
      </c>
      <c r="D12">
        <v>0</v>
      </c>
      <c r="E12">
        <v>0</v>
      </c>
      <c r="F12">
        <v>0</v>
      </c>
      <c r="G12" s="7">
        <f t="shared" si="0"/>
        <v>127</v>
      </c>
      <c r="H12" s="13">
        <f t="shared" si="1"/>
        <v>0.80314960629921262</v>
      </c>
      <c r="I12">
        <v>0</v>
      </c>
      <c r="J12">
        <v>0</v>
      </c>
      <c r="K12">
        <v>0</v>
      </c>
      <c r="L12">
        <v>0</v>
      </c>
      <c r="M12">
        <v>0</v>
      </c>
      <c r="N12" s="7">
        <f t="shared" si="2"/>
        <v>0</v>
      </c>
      <c r="O12" s="13">
        <f t="shared" si="3"/>
        <v>0</v>
      </c>
      <c r="Q12" s="15">
        <f t="shared" si="4"/>
        <v>0</v>
      </c>
      <c r="R12">
        <v>14</v>
      </c>
      <c r="S12" s="13">
        <f t="shared" si="5"/>
        <v>0.11023622047244094</v>
      </c>
    </row>
    <row r="13" spans="1:19" x14ac:dyDescent="0.25">
      <c r="A13" s="1" t="s">
        <v>32</v>
      </c>
      <c r="G13" s="7">
        <f t="shared" si="0"/>
        <v>0</v>
      </c>
      <c r="H13" s="13">
        <f t="shared" si="1"/>
        <v>0</v>
      </c>
      <c r="N13" s="7">
        <f t="shared" si="2"/>
        <v>0</v>
      </c>
      <c r="O13" s="13">
        <f t="shared" si="3"/>
        <v>0</v>
      </c>
      <c r="Q13" s="15">
        <f t="shared" si="4"/>
        <v>0</v>
      </c>
      <c r="S13" s="13">
        <f t="shared" si="5"/>
        <v>0</v>
      </c>
    </row>
    <row r="14" spans="1:19" x14ac:dyDescent="0.25">
      <c r="A14" s="9" t="s">
        <v>33</v>
      </c>
      <c r="B14" s="10">
        <f>SUM(B9:B13)</f>
        <v>779</v>
      </c>
      <c r="C14" s="10">
        <f>SUM(C9:C13)</f>
        <v>590</v>
      </c>
      <c r="D14" s="10">
        <f>SUM(D9:D13)</f>
        <v>2</v>
      </c>
      <c r="E14" s="10">
        <f>SUM(E9:E13)</f>
        <v>2</v>
      </c>
      <c r="F14" s="10">
        <f>SUM(F9:F13)</f>
        <v>3</v>
      </c>
      <c r="G14" s="10">
        <f t="shared" si="0"/>
        <v>1376</v>
      </c>
      <c r="H14" s="14">
        <f t="shared" si="1"/>
        <v>0.43386627906976744</v>
      </c>
      <c r="I14" s="10">
        <f>SUM(I9:I13)</f>
        <v>1</v>
      </c>
      <c r="J14" s="10">
        <f t="shared" ref="J14" si="7">SUM(J9:J13)</f>
        <v>0</v>
      </c>
      <c r="K14" s="10">
        <f t="shared" ref="K14" si="8">SUM(K9:K13)</f>
        <v>5</v>
      </c>
      <c r="L14" s="10">
        <f t="shared" ref="L14" si="9">SUM(L9:L13)</f>
        <v>0</v>
      </c>
      <c r="M14" s="10">
        <f t="shared" ref="M14" si="10">SUM(M9:M13)</f>
        <v>0</v>
      </c>
      <c r="N14" s="10">
        <f t="shared" si="2"/>
        <v>6</v>
      </c>
      <c r="O14" s="14">
        <f t="shared" si="3"/>
        <v>4.3604651162790697E-3</v>
      </c>
      <c r="P14" s="10">
        <f>SUM(P9:P13)</f>
        <v>0</v>
      </c>
      <c r="Q14" s="16">
        <f t="shared" si="4"/>
        <v>0</v>
      </c>
      <c r="R14" s="10">
        <f>SUM(R9:R13)</f>
        <v>128</v>
      </c>
      <c r="S14" s="14">
        <f t="shared" si="5"/>
        <v>9.3023255813953487E-2</v>
      </c>
    </row>
    <row r="15" spans="1:19" x14ac:dyDescent="0.25">
      <c r="A15" s="1" t="s">
        <v>34</v>
      </c>
      <c r="B15">
        <v>288</v>
      </c>
      <c r="C15">
        <v>118</v>
      </c>
      <c r="D15">
        <v>0</v>
      </c>
      <c r="E15">
        <v>0</v>
      </c>
      <c r="F15">
        <v>0</v>
      </c>
      <c r="G15" s="7">
        <f t="shared" si="0"/>
        <v>406</v>
      </c>
      <c r="H15" s="13">
        <f t="shared" si="1"/>
        <v>0.29064039408866993</v>
      </c>
      <c r="I15">
        <v>0</v>
      </c>
      <c r="J15">
        <v>0</v>
      </c>
      <c r="K15">
        <v>0</v>
      </c>
      <c r="L15">
        <v>0</v>
      </c>
      <c r="M15">
        <v>0</v>
      </c>
      <c r="N15" s="7">
        <f t="shared" si="2"/>
        <v>0</v>
      </c>
      <c r="O15" s="13">
        <f t="shared" si="3"/>
        <v>0</v>
      </c>
      <c r="Q15" s="15">
        <f t="shared" si="4"/>
        <v>0</v>
      </c>
      <c r="R15">
        <v>57</v>
      </c>
      <c r="S15" s="13">
        <f t="shared" si="5"/>
        <v>0.14039408866995073</v>
      </c>
    </row>
    <row r="16" spans="1:19" x14ac:dyDescent="0.25">
      <c r="A16" s="1" t="s">
        <v>35</v>
      </c>
      <c r="B16">
        <v>157</v>
      </c>
      <c r="C16">
        <v>288</v>
      </c>
      <c r="D16">
        <v>0</v>
      </c>
      <c r="E16">
        <v>0</v>
      </c>
      <c r="F16">
        <v>0</v>
      </c>
      <c r="G16" s="7">
        <f t="shared" si="0"/>
        <v>445</v>
      </c>
      <c r="H16" s="13">
        <f t="shared" si="1"/>
        <v>0.64719101123595502</v>
      </c>
      <c r="I16">
        <v>0</v>
      </c>
      <c r="J16">
        <v>0</v>
      </c>
      <c r="K16">
        <v>0</v>
      </c>
      <c r="L16">
        <v>0</v>
      </c>
      <c r="M16">
        <v>0</v>
      </c>
      <c r="N16" s="7">
        <f t="shared" si="2"/>
        <v>0</v>
      </c>
      <c r="O16" s="13">
        <f t="shared" si="3"/>
        <v>0</v>
      </c>
      <c r="Q16" s="15">
        <f t="shared" si="4"/>
        <v>0</v>
      </c>
      <c r="R16">
        <v>0</v>
      </c>
      <c r="S16" s="13">
        <f t="shared" si="5"/>
        <v>0</v>
      </c>
    </row>
    <row r="17" spans="1:19" x14ac:dyDescent="0.25">
      <c r="A17" s="1" t="s">
        <v>36</v>
      </c>
      <c r="B17">
        <v>187</v>
      </c>
      <c r="C17">
        <v>320</v>
      </c>
      <c r="D17">
        <v>0</v>
      </c>
      <c r="E17">
        <v>0</v>
      </c>
      <c r="F17">
        <v>0</v>
      </c>
      <c r="G17" s="7">
        <f t="shared" si="0"/>
        <v>507</v>
      </c>
      <c r="H17" s="13">
        <f t="shared" si="1"/>
        <v>0.63116370808678501</v>
      </c>
      <c r="I17">
        <v>0</v>
      </c>
      <c r="J17">
        <v>0</v>
      </c>
      <c r="K17">
        <v>0</v>
      </c>
      <c r="L17">
        <v>0</v>
      </c>
      <c r="M17">
        <v>0</v>
      </c>
      <c r="N17" s="7">
        <f t="shared" si="2"/>
        <v>0</v>
      </c>
      <c r="O17" s="13">
        <f t="shared" si="3"/>
        <v>0</v>
      </c>
      <c r="Q17" s="15">
        <f t="shared" si="4"/>
        <v>0</v>
      </c>
      <c r="R17">
        <v>8</v>
      </c>
      <c r="S17" s="13">
        <f t="shared" si="5"/>
        <v>1.5779092702169626E-2</v>
      </c>
    </row>
    <row r="18" spans="1:19" x14ac:dyDescent="0.25">
      <c r="A18" s="1" t="s">
        <v>37</v>
      </c>
      <c r="B18">
        <v>239</v>
      </c>
      <c r="C18">
        <v>237</v>
      </c>
      <c r="D18">
        <v>0</v>
      </c>
      <c r="E18">
        <v>0</v>
      </c>
      <c r="F18">
        <v>0</v>
      </c>
      <c r="G18" s="7">
        <f t="shared" si="0"/>
        <v>476</v>
      </c>
      <c r="H18" s="13">
        <f t="shared" si="1"/>
        <v>0.49789915966386555</v>
      </c>
      <c r="I18">
        <v>0</v>
      </c>
      <c r="J18">
        <v>0</v>
      </c>
      <c r="K18">
        <v>0</v>
      </c>
      <c r="L18">
        <v>0</v>
      </c>
      <c r="M18">
        <v>0</v>
      </c>
      <c r="N18" s="7">
        <f t="shared" si="2"/>
        <v>0</v>
      </c>
      <c r="O18" s="13">
        <f t="shared" si="3"/>
        <v>0</v>
      </c>
      <c r="Q18" s="15">
        <f t="shared" si="4"/>
        <v>0</v>
      </c>
      <c r="R18">
        <v>65</v>
      </c>
      <c r="S18" s="13">
        <f t="shared" si="5"/>
        <v>0.13655462184873948</v>
      </c>
    </row>
    <row r="19" spans="1:19" x14ac:dyDescent="0.25">
      <c r="A19" s="1" t="s">
        <v>38</v>
      </c>
      <c r="B19">
        <v>290</v>
      </c>
      <c r="C19">
        <v>295</v>
      </c>
      <c r="D19">
        <v>4</v>
      </c>
      <c r="E19">
        <v>9</v>
      </c>
      <c r="F19">
        <v>2</v>
      </c>
      <c r="G19" s="7">
        <f t="shared" si="0"/>
        <v>600</v>
      </c>
      <c r="H19" s="13">
        <f t="shared" si="1"/>
        <v>0.51666666666666672</v>
      </c>
      <c r="I19">
        <v>1</v>
      </c>
      <c r="J19">
        <v>2</v>
      </c>
      <c r="K19">
        <v>0</v>
      </c>
      <c r="L19">
        <v>1</v>
      </c>
      <c r="M19">
        <v>0</v>
      </c>
      <c r="N19" s="7">
        <f t="shared" si="2"/>
        <v>4</v>
      </c>
      <c r="O19" s="13">
        <f t="shared" si="3"/>
        <v>6.6666666666666671E-3</v>
      </c>
      <c r="Q19" s="15">
        <f t="shared" si="4"/>
        <v>0</v>
      </c>
      <c r="R19">
        <v>123</v>
      </c>
      <c r="S19" s="13">
        <f t="shared" si="5"/>
        <v>0.20499999999999999</v>
      </c>
    </row>
    <row r="20" spans="1:19" x14ac:dyDescent="0.25">
      <c r="A20" s="9" t="s">
        <v>39</v>
      </c>
      <c r="B20" s="10">
        <f>SUM(B15:B19)</f>
        <v>1161</v>
      </c>
      <c r="C20" s="10">
        <f>SUM(C15:C19)</f>
        <v>1258</v>
      </c>
      <c r="D20" s="10">
        <f>SUM(D15:D19)</f>
        <v>4</v>
      </c>
      <c r="E20" s="10">
        <f>SUM(E15:E19)</f>
        <v>9</v>
      </c>
      <c r="F20" s="10">
        <f>SUM(F15:F19)</f>
        <v>2</v>
      </c>
      <c r="G20" s="10">
        <f t="shared" si="0"/>
        <v>2434</v>
      </c>
      <c r="H20" s="14">
        <f t="shared" si="1"/>
        <v>0.52300739523418238</v>
      </c>
      <c r="I20" s="10">
        <f>SUM(I15:I19)</f>
        <v>1</v>
      </c>
      <c r="J20" s="10">
        <f t="shared" ref="J20" si="11">SUM(J15:J19)</f>
        <v>2</v>
      </c>
      <c r="K20" s="10">
        <f t="shared" ref="K20" si="12">SUM(K15:K19)</f>
        <v>0</v>
      </c>
      <c r="L20" s="10">
        <f t="shared" ref="L20" si="13">SUM(L15:L19)</f>
        <v>1</v>
      </c>
      <c r="M20" s="10">
        <f t="shared" ref="M20" si="14">SUM(M15:M19)</f>
        <v>0</v>
      </c>
      <c r="N20" s="10">
        <f t="shared" si="2"/>
        <v>4</v>
      </c>
      <c r="O20" s="14">
        <f t="shared" si="3"/>
        <v>1.6433853738701725E-3</v>
      </c>
      <c r="P20" s="10">
        <f>SUM(P15:P19)</f>
        <v>0</v>
      </c>
      <c r="Q20" s="16">
        <f t="shared" si="4"/>
        <v>0</v>
      </c>
      <c r="R20" s="10">
        <f>SUM(R15:R19)</f>
        <v>253</v>
      </c>
      <c r="S20" s="14">
        <f t="shared" si="5"/>
        <v>0.10394412489728841</v>
      </c>
    </row>
    <row r="21" spans="1:19" x14ac:dyDescent="0.25">
      <c r="A21" s="1" t="s">
        <v>40</v>
      </c>
      <c r="B21">
        <v>789</v>
      </c>
      <c r="C21">
        <v>673</v>
      </c>
      <c r="D21">
        <v>1</v>
      </c>
      <c r="E21">
        <v>1</v>
      </c>
      <c r="F21">
        <v>0</v>
      </c>
      <c r="G21" s="7">
        <f t="shared" si="0"/>
        <v>1464</v>
      </c>
      <c r="H21" s="13">
        <f t="shared" si="1"/>
        <v>0.46106557377049179</v>
      </c>
      <c r="I21">
        <v>0</v>
      </c>
      <c r="J21">
        <v>0</v>
      </c>
      <c r="K21">
        <v>0</v>
      </c>
      <c r="L21">
        <v>0</v>
      </c>
      <c r="M21">
        <v>0</v>
      </c>
      <c r="N21" s="7">
        <f t="shared" si="2"/>
        <v>0</v>
      </c>
      <c r="O21" s="13">
        <f t="shared" si="3"/>
        <v>0</v>
      </c>
      <c r="Q21" s="15">
        <f t="shared" si="4"/>
        <v>0</v>
      </c>
      <c r="R21">
        <v>500</v>
      </c>
      <c r="S21" s="13">
        <f t="shared" si="5"/>
        <v>0.34153005464480873</v>
      </c>
    </row>
    <row r="22" spans="1:19" x14ac:dyDescent="0.25">
      <c r="A22" s="1" t="s">
        <v>41</v>
      </c>
      <c r="B22">
        <v>386</v>
      </c>
      <c r="C22">
        <v>680</v>
      </c>
      <c r="D22">
        <v>12</v>
      </c>
      <c r="E22">
        <v>5</v>
      </c>
      <c r="F22">
        <v>8</v>
      </c>
      <c r="G22" s="7">
        <f t="shared" si="0"/>
        <v>1091</v>
      </c>
      <c r="H22" s="13">
        <f t="shared" si="1"/>
        <v>0.64619615032080657</v>
      </c>
      <c r="I22">
        <v>1</v>
      </c>
      <c r="J22">
        <v>0</v>
      </c>
      <c r="K22">
        <v>0</v>
      </c>
      <c r="L22">
        <v>2</v>
      </c>
      <c r="M22">
        <v>0</v>
      </c>
      <c r="N22" s="7">
        <f t="shared" si="2"/>
        <v>3</v>
      </c>
      <c r="O22" s="13">
        <f t="shared" si="3"/>
        <v>2.7497708524289641E-3</v>
      </c>
      <c r="Q22" s="15">
        <f t="shared" si="4"/>
        <v>0</v>
      </c>
      <c r="R22">
        <v>217</v>
      </c>
      <c r="S22" s="13">
        <f t="shared" si="5"/>
        <v>0.19890009165902842</v>
      </c>
    </row>
    <row r="23" spans="1:19" x14ac:dyDescent="0.25">
      <c r="A23" s="1" t="s">
        <v>42</v>
      </c>
      <c r="B23">
        <v>286</v>
      </c>
      <c r="C23">
        <v>361</v>
      </c>
      <c r="D23">
        <v>4</v>
      </c>
      <c r="E23">
        <v>0</v>
      </c>
      <c r="F23">
        <v>1</v>
      </c>
      <c r="G23" s="7">
        <f t="shared" si="0"/>
        <v>652</v>
      </c>
      <c r="H23" s="13">
        <f t="shared" si="1"/>
        <v>0.56134969325153372</v>
      </c>
      <c r="I23">
        <v>0</v>
      </c>
      <c r="J23">
        <v>0</v>
      </c>
      <c r="K23">
        <v>0</v>
      </c>
      <c r="L23">
        <v>1</v>
      </c>
      <c r="M23">
        <v>0</v>
      </c>
      <c r="N23" s="7">
        <f t="shared" si="2"/>
        <v>1</v>
      </c>
      <c r="O23" s="13">
        <f t="shared" si="3"/>
        <v>1.5337423312883436E-3</v>
      </c>
      <c r="Q23" s="15">
        <f t="shared" si="4"/>
        <v>0</v>
      </c>
      <c r="R23">
        <v>120</v>
      </c>
      <c r="S23" s="13">
        <f t="shared" si="5"/>
        <v>0.18404907975460122</v>
      </c>
    </row>
    <row r="24" spans="1:19" x14ac:dyDescent="0.25">
      <c r="A24" s="1" t="s">
        <v>43</v>
      </c>
      <c r="B24">
        <v>228</v>
      </c>
      <c r="C24">
        <v>279</v>
      </c>
      <c r="D24">
        <v>3</v>
      </c>
      <c r="E24">
        <v>2</v>
      </c>
      <c r="F24">
        <v>1</v>
      </c>
      <c r="G24" s="7">
        <f t="shared" si="0"/>
        <v>513</v>
      </c>
      <c r="H24" s="13">
        <f t="shared" si="1"/>
        <v>0.55555555555555558</v>
      </c>
      <c r="I24">
        <v>0</v>
      </c>
      <c r="J24">
        <v>0</v>
      </c>
      <c r="K24">
        <v>0</v>
      </c>
      <c r="L24">
        <v>0</v>
      </c>
      <c r="M24">
        <v>0</v>
      </c>
      <c r="N24" s="7">
        <f t="shared" si="2"/>
        <v>0</v>
      </c>
      <c r="O24" s="13">
        <f t="shared" si="3"/>
        <v>0</v>
      </c>
      <c r="Q24" s="15">
        <f t="shared" si="4"/>
        <v>0</v>
      </c>
      <c r="R24">
        <v>6</v>
      </c>
      <c r="S24" s="13">
        <f t="shared" si="5"/>
        <v>1.1695906432748537E-2</v>
      </c>
    </row>
    <row r="25" spans="1:19" x14ac:dyDescent="0.25">
      <c r="A25" s="1" t="s">
        <v>44</v>
      </c>
      <c r="B25">
        <v>362</v>
      </c>
      <c r="C25">
        <v>290</v>
      </c>
      <c r="D25">
        <v>0</v>
      </c>
      <c r="E25">
        <v>0</v>
      </c>
      <c r="F25">
        <v>2</v>
      </c>
      <c r="G25" s="7">
        <f t="shared" si="0"/>
        <v>654</v>
      </c>
      <c r="H25" s="13">
        <f t="shared" si="1"/>
        <v>0.44648318042813456</v>
      </c>
      <c r="I25">
        <v>0</v>
      </c>
      <c r="J25">
        <v>0</v>
      </c>
      <c r="K25">
        <v>0</v>
      </c>
      <c r="L25">
        <v>0</v>
      </c>
      <c r="M25">
        <v>0</v>
      </c>
      <c r="N25" s="7">
        <f t="shared" si="2"/>
        <v>0</v>
      </c>
      <c r="O25" s="13">
        <f t="shared" si="3"/>
        <v>0</v>
      </c>
      <c r="Q25" s="15">
        <f t="shared" si="4"/>
        <v>0</v>
      </c>
      <c r="R25">
        <v>310</v>
      </c>
      <c r="S25" s="13">
        <f t="shared" si="5"/>
        <v>0.47400611620795108</v>
      </c>
    </row>
    <row r="26" spans="1:19" x14ac:dyDescent="0.25">
      <c r="A26" s="9" t="s">
        <v>45</v>
      </c>
      <c r="B26" s="10">
        <f>SUM(B21:B25)</f>
        <v>2051</v>
      </c>
      <c r="C26" s="10">
        <f>SUM(C21:C25)</f>
        <v>2283</v>
      </c>
      <c r="D26" s="10">
        <f>SUM(D21:D25)</f>
        <v>20</v>
      </c>
      <c r="E26" s="10">
        <f>SUM(E21:E25)</f>
        <v>8</v>
      </c>
      <c r="F26" s="10">
        <f>SUM(F21:F25)</f>
        <v>12</v>
      </c>
      <c r="G26" s="10">
        <f t="shared" si="0"/>
        <v>4374</v>
      </c>
      <c r="H26" s="14">
        <f t="shared" si="1"/>
        <v>0.53109282121627799</v>
      </c>
      <c r="I26" s="10">
        <f>SUM(I21:I25)</f>
        <v>1</v>
      </c>
      <c r="J26" s="10">
        <f t="shared" ref="J26" si="15">SUM(J21:J25)</f>
        <v>0</v>
      </c>
      <c r="K26" s="10">
        <f t="shared" ref="K26" si="16">SUM(K21:K25)</f>
        <v>0</v>
      </c>
      <c r="L26" s="10">
        <f t="shared" ref="L26" si="17">SUM(L21:L25)</f>
        <v>3</v>
      </c>
      <c r="M26" s="10">
        <f t="shared" ref="M26" si="18">SUM(M21:M25)</f>
        <v>0</v>
      </c>
      <c r="N26" s="10">
        <f t="shared" si="2"/>
        <v>4</v>
      </c>
      <c r="O26" s="14">
        <f t="shared" si="3"/>
        <v>9.1449474165523545E-4</v>
      </c>
      <c r="P26" s="10">
        <f>SUM(P21:P25)</f>
        <v>0</v>
      </c>
      <c r="Q26" s="16">
        <f t="shared" si="4"/>
        <v>0</v>
      </c>
      <c r="R26" s="10">
        <f>SUM(R21:R25)</f>
        <v>1153</v>
      </c>
      <c r="S26" s="14">
        <f t="shared" si="5"/>
        <v>0.26360310928212161</v>
      </c>
    </row>
    <row r="27" spans="1:19" x14ac:dyDescent="0.25">
      <c r="A27" s="1" t="s">
        <v>46</v>
      </c>
      <c r="B27">
        <v>312</v>
      </c>
      <c r="C27">
        <v>252</v>
      </c>
      <c r="D27">
        <v>2</v>
      </c>
      <c r="E27">
        <v>0</v>
      </c>
      <c r="F27">
        <v>2</v>
      </c>
      <c r="G27" s="7">
        <f t="shared" si="0"/>
        <v>568</v>
      </c>
      <c r="H27" s="13">
        <f t="shared" si="1"/>
        <v>0.45070422535211269</v>
      </c>
      <c r="I27">
        <v>0</v>
      </c>
      <c r="J27">
        <v>0</v>
      </c>
      <c r="K27">
        <v>1</v>
      </c>
      <c r="L27">
        <v>0</v>
      </c>
      <c r="M27">
        <v>0</v>
      </c>
      <c r="N27" s="7">
        <f t="shared" si="2"/>
        <v>1</v>
      </c>
      <c r="O27" s="13">
        <f t="shared" si="3"/>
        <v>1.7605633802816902E-3</v>
      </c>
      <c r="Q27" s="15">
        <f t="shared" si="4"/>
        <v>0</v>
      </c>
      <c r="R27">
        <v>136</v>
      </c>
      <c r="S27" s="13">
        <f t="shared" si="5"/>
        <v>0.23943661971830985</v>
      </c>
    </row>
    <row r="28" spans="1:19" x14ac:dyDescent="0.25">
      <c r="A28" s="1" t="s">
        <v>47</v>
      </c>
      <c r="B28">
        <v>197</v>
      </c>
      <c r="C28">
        <v>237</v>
      </c>
      <c r="D28">
        <v>6</v>
      </c>
      <c r="E28">
        <v>1</v>
      </c>
      <c r="F28">
        <v>1</v>
      </c>
      <c r="G28" s="7">
        <f t="shared" si="0"/>
        <v>442</v>
      </c>
      <c r="H28" s="13">
        <f t="shared" si="1"/>
        <v>0.55429864253393668</v>
      </c>
      <c r="I28">
        <v>0</v>
      </c>
      <c r="J28">
        <v>0</v>
      </c>
      <c r="K28">
        <v>2</v>
      </c>
      <c r="L28">
        <v>0</v>
      </c>
      <c r="N28" s="7">
        <f t="shared" si="2"/>
        <v>2</v>
      </c>
      <c r="O28" s="13">
        <f t="shared" si="3"/>
        <v>4.5248868778280547E-3</v>
      </c>
      <c r="Q28" s="15">
        <f t="shared" si="4"/>
        <v>0</v>
      </c>
      <c r="R28">
        <v>14</v>
      </c>
      <c r="S28" s="13">
        <f t="shared" si="5"/>
        <v>3.1674208144796379E-2</v>
      </c>
    </row>
    <row r="29" spans="1:19" x14ac:dyDescent="0.25">
      <c r="A29" s="1" t="s">
        <v>48</v>
      </c>
      <c r="B29">
        <v>274</v>
      </c>
      <c r="C29">
        <v>273</v>
      </c>
      <c r="D29">
        <v>2</v>
      </c>
      <c r="E29">
        <v>0</v>
      </c>
      <c r="F29">
        <v>1</v>
      </c>
      <c r="G29" s="7">
        <f t="shared" si="0"/>
        <v>550</v>
      </c>
      <c r="H29" s="13">
        <f t="shared" si="1"/>
        <v>0.50181818181818183</v>
      </c>
      <c r="I29">
        <v>0</v>
      </c>
      <c r="J29">
        <v>0</v>
      </c>
      <c r="K29">
        <v>0</v>
      </c>
      <c r="L29">
        <v>0</v>
      </c>
      <c r="M29">
        <v>0</v>
      </c>
      <c r="N29" s="7">
        <f t="shared" si="2"/>
        <v>0</v>
      </c>
      <c r="O29" s="13">
        <f t="shared" si="3"/>
        <v>0</v>
      </c>
      <c r="Q29" s="15">
        <f t="shared" si="4"/>
        <v>0</v>
      </c>
      <c r="R29">
        <v>56</v>
      </c>
      <c r="S29" s="13">
        <f t="shared" si="5"/>
        <v>0.10181818181818182</v>
      </c>
    </row>
    <row r="30" spans="1:19" x14ac:dyDescent="0.25">
      <c r="A30" s="1" t="s">
        <v>49</v>
      </c>
      <c r="G30" s="7">
        <f t="shared" si="0"/>
        <v>0</v>
      </c>
      <c r="H30" s="13">
        <f t="shared" si="1"/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7">
        <f t="shared" si="2"/>
        <v>0</v>
      </c>
      <c r="O30" s="13">
        <f t="shared" si="3"/>
        <v>0</v>
      </c>
      <c r="Q30" s="15">
        <f t="shared" si="4"/>
        <v>0</v>
      </c>
      <c r="S30" s="13">
        <f>IFERROR(R30/G30,0)</f>
        <v>0</v>
      </c>
    </row>
    <row r="31" spans="1:19" x14ac:dyDescent="0.25">
      <c r="A31" s="1" t="s">
        <v>50</v>
      </c>
      <c r="B31">
        <v>268</v>
      </c>
      <c r="C31">
        <v>216</v>
      </c>
      <c r="D31">
        <v>5</v>
      </c>
      <c r="E31">
        <v>2</v>
      </c>
      <c r="F31">
        <v>2</v>
      </c>
      <c r="G31" s="7">
        <f t="shared" si="0"/>
        <v>493</v>
      </c>
      <c r="H31" s="13">
        <f t="shared" si="1"/>
        <v>0.45638945233265721</v>
      </c>
      <c r="I31">
        <v>1</v>
      </c>
      <c r="J31">
        <v>1</v>
      </c>
      <c r="K31">
        <v>4</v>
      </c>
      <c r="L31">
        <v>1</v>
      </c>
      <c r="M31">
        <v>0</v>
      </c>
      <c r="N31" s="7">
        <f t="shared" si="2"/>
        <v>7</v>
      </c>
      <c r="O31" s="13">
        <f t="shared" si="3"/>
        <v>1.4198782961460446E-2</v>
      </c>
      <c r="Q31" s="15">
        <f t="shared" si="4"/>
        <v>0</v>
      </c>
      <c r="R31">
        <v>56</v>
      </c>
      <c r="S31" s="13">
        <f t="shared" si="5"/>
        <v>0.11359026369168357</v>
      </c>
    </row>
    <row r="32" spans="1:19" x14ac:dyDescent="0.25">
      <c r="A32" s="9" t="s">
        <v>51</v>
      </c>
      <c r="B32" s="10">
        <f>SUM(B27:B31)</f>
        <v>1051</v>
      </c>
      <c r="C32" s="10">
        <f>SUM(C27:C31)</f>
        <v>978</v>
      </c>
      <c r="D32" s="10">
        <f>SUM(D27:D31)</f>
        <v>15</v>
      </c>
      <c r="E32" s="10">
        <f>SUM(E27:E31)</f>
        <v>3</v>
      </c>
      <c r="F32" s="10">
        <f>SUM(F27:F31)</f>
        <v>6</v>
      </c>
      <c r="G32" s="10">
        <f>SUM(B32:F32)</f>
        <v>2053</v>
      </c>
      <c r="H32" s="14">
        <f t="shared" si="1"/>
        <v>0.4880662445202143</v>
      </c>
      <c r="I32" s="10">
        <f>SUM(I27:I31)</f>
        <v>1</v>
      </c>
      <c r="J32" s="10">
        <f t="shared" ref="J32" si="19">SUM(J27:J31)</f>
        <v>1</v>
      </c>
      <c r="K32" s="10">
        <f t="shared" ref="K32" si="20">SUM(K27:K31)</f>
        <v>7</v>
      </c>
      <c r="L32" s="10">
        <f t="shared" ref="L32" si="21">SUM(L27:L31)</f>
        <v>1</v>
      </c>
      <c r="M32" s="10">
        <f t="shared" ref="M32" si="22">SUM(M27:M31)</f>
        <v>0</v>
      </c>
      <c r="N32" s="10">
        <f t="shared" si="2"/>
        <v>10</v>
      </c>
      <c r="O32" s="14">
        <f t="shared" si="3"/>
        <v>4.870920603994155E-3</v>
      </c>
      <c r="P32" s="10">
        <f>SUM(P27:P31)</f>
        <v>0</v>
      </c>
      <c r="Q32" s="16">
        <f t="shared" si="4"/>
        <v>0</v>
      </c>
      <c r="R32" s="10">
        <f>SUM(R27:R31)</f>
        <v>262</v>
      </c>
      <c r="S32" s="14">
        <f t="shared" si="5"/>
        <v>0.12761811982464685</v>
      </c>
    </row>
    <row r="33" spans="1:19" x14ac:dyDescent="0.25">
      <c r="A33" s="1" t="s">
        <v>52</v>
      </c>
      <c r="B33">
        <v>226</v>
      </c>
      <c r="C33">
        <v>357</v>
      </c>
      <c r="D33">
        <v>2</v>
      </c>
      <c r="E33">
        <v>2</v>
      </c>
      <c r="F33">
        <v>0</v>
      </c>
      <c r="G33" s="7">
        <f t="shared" si="0"/>
        <v>587</v>
      </c>
      <c r="H33" s="13">
        <f t="shared" si="1"/>
        <v>0.61499148211243615</v>
      </c>
      <c r="I33">
        <v>1</v>
      </c>
      <c r="J33">
        <v>0</v>
      </c>
      <c r="K33">
        <v>1</v>
      </c>
      <c r="L33">
        <v>1</v>
      </c>
      <c r="M33">
        <v>0</v>
      </c>
      <c r="N33" s="7">
        <f t="shared" si="2"/>
        <v>3</v>
      </c>
      <c r="O33" s="13">
        <f t="shared" si="3"/>
        <v>5.1107325383304937E-3</v>
      </c>
      <c r="Q33" s="15">
        <f t="shared" si="4"/>
        <v>0</v>
      </c>
      <c r="R33">
        <v>20</v>
      </c>
      <c r="S33" s="13">
        <f t="shared" si="5"/>
        <v>3.4071550255536626E-2</v>
      </c>
    </row>
    <row r="34" spans="1:19" x14ac:dyDescent="0.25">
      <c r="A34" s="1" t="s">
        <v>53</v>
      </c>
      <c r="B34">
        <v>183</v>
      </c>
      <c r="C34">
        <v>192</v>
      </c>
      <c r="D34">
        <v>1</v>
      </c>
      <c r="E34">
        <v>1</v>
      </c>
      <c r="F34">
        <v>0</v>
      </c>
      <c r="G34" s="7">
        <f t="shared" si="0"/>
        <v>377</v>
      </c>
      <c r="H34" s="13">
        <f t="shared" si="1"/>
        <v>0.51458885941644561</v>
      </c>
      <c r="I34">
        <v>0</v>
      </c>
      <c r="J34">
        <v>0</v>
      </c>
      <c r="K34">
        <v>1</v>
      </c>
      <c r="L34">
        <v>0</v>
      </c>
      <c r="M34">
        <v>0</v>
      </c>
      <c r="N34" s="7">
        <f t="shared" si="2"/>
        <v>1</v>
      </c>
      <c r="O34" s="13">
        <f t="shared" si="3"/>
        <v>2.6525198938992041E-3</v>
      </c>
      <c r="Q34" s="15">
        <f t="shared" si="4"/>
        <v>0</v>
      </c>
      <c r="R34">
        <v>63</v>
      </c>
      <c r="S34" s="13">
        <f t="shared" si="5"/>
        <v>0.16710875331564987</v>
      </c>
    </row>
    <row r="35" spans="1:19" x14ac:dyDescent="0.25">
      <c r="A35" s="1" t="s">
        <v>54</v>
      </c>
      <c r="B35">
        <v>257</v>
      </c>
      <c r="C35">
        <v>346</v>
      </c>
      <c r="D35">
        <v>0</v>
      </c>
      <c r="E35">
        <v>0</v>
      </c>
      <c r="F35">
        <v>1</v>
      </c>
      <c r="G35" s="7">
        <f t="shared" si="0"/>
        <v>604</v>
      </c>
      <c r="H35" s="13">
        <f t="shared" si="1"/>
        <v>0.57450331125827814</v>
      </c>
      <c r="I35">
        <v>0</v>
      </c>
      <c r="J35">
        <v>0</v>
      </c>
      <c r="K35">
        <v>0</v>
      </c>
      <c r="L35">
        <v>0</v>
      </c>
      <c r="M35">
        <v>0</v>
      </c>
      <c r="N35" s="7">
        <f t="shared" si="2"/>
        <v>0</v>
      </c>
      <c r="O35" s="13">
        <f t="shared" si="3"/>
        <v>0</v>
      </c>
      <c r="Q35" s="15">
        <f t="shared" si="4"/>
        <v>0</v>
      </c>
      <c r="R35">
        <v>54</v>
      </c>
      <c r="S35" s="13">
        <f t="shared" si="5"/>
        <v>8.9403973509933773E-2</v>
      </c>
    </row>
    <row r="36" spans="1:19" x14ac:dyDescent="0.25">
      <c r="A36" s="1" t="s">
        <v>55</v>
      </c>
      <c r="B36">
        <v>224</v>
      </c>
      <c r="C36">
        <v>321</v>
      </c>
      <c r="D36">
        <v>0</v>
      </c>
      <c r="E36">
        <v>0</v>
      </c>
      <c r="F36">
        <v>0</v>
      </c>
      <c r="G36" s="7">
        <f>SUM(B36:F36)</f>
        <v>545</v>
      </c>
      <c r="H36" s="13">
        <f t="shared" si="1"/>
        <v>0.58899082568807337</v>
      </c>
      <c r="I36">
        <v>0</v>
      </c>
      <c r="J36">
        <v>0</v>
      </c>
      <c r="K36">
        <v>0</v>
      </c>
      <c r="L36">
        <v>0</v>
      </c>
      <c r="M36">
        <v>0</v>
      </c>
      <c r="N36" s="7">
        <f t="shared" si="2"/>
        <v>0</v>
      </c>
      <c r="O36" s="13">
        <f t="shared" si="3"/>
        <v>0</v>
      </c>
      <c r="Q36" s="15">
        <f t="shared" si="4"/>
        <v>0</v>
      </c>
      <c r="R36">
        <v>47</v>
      </c>
      <c r="S36" s="13">
        <f t="shared" si="5"/>
        <v>8.6238532110091748E-2</v>
      </c>
    </row>
    <row r="37" spans="1:19" x14ac:dyDescent="0.25">
      <c r="A37" s="1" t="s">
        <v>56</v>
      </c>
      <c r="B37">
        <v>176</v>
      </c>
      <c r="C37">
        <v>250</v>
      </c>
      <c r="D37">
        <v>3</v>
      </c>
      <c r="E37">
        <v>0</v>
      </c>
      <c r="F37">
        <v>0</v>
      </c>
      <c r="G37" s="7">
        <f t="shared" si="0"/>
        <v>429</v>
      </c>
      <c r="H37" s="13">
        <f t="shared" si="1"/>
        <v>0.58974358974358976</v>
      </c>
      <c r="I37">
        <v>0</v>
      </c>
      <c r="J37">
        <v>0</v>
      </c>
      <c r="K37">
        <v>3</v>
      </c>
      <c r="L37">
        <v>2</v>
      </c>
      <c r="M37">
        <v>0</v>
      </c>
      <c r="N37" s="7">
        <f t="shared" si="2"/>
        <v>5</v>
      </c>
      <c r="O37" s="13">
        <f t="shared" si="3"/>
        <v>1.1655011655011656E-2</v>
      </c>
      <c r="Q37" s="15">
        <f t="shared" si="4"/>
        <v>0</v>
      </c>
      <c r="R37">
        <v>73</v>
      </c>
      <c r="S37" s="13">
        <f t="shared" si="5"/>
        <v>0.17016317016317017</v>
      </c>
    </row>
    <row r="38" spans="1:19" x14ac:dyDescent="0.25">
      <c r="A38" s="9" t="s">
        <v>57</v>
      </c>
      <c r="B38" s="10">
        <f>SUM(B33:B37)</f>
        <v>1066</v>
      </c>
      <c r="C38" s="10">
        <f>SUM(C33:C37)</f>
        <v>1466</v>
      </c>
      <c r="D38" s="10">
        <f>SUM(D33:D37)</f>
        <v>6</v>
      </c>
      <c r="E38" s="10">
        <f>SUM(E33:E37)</f>
        <v>3</v>
      </c>
      <c r="F38" s="10">
        <f>SUM(F33:F37)</f>
        <v>1</v>
      </c>
      <c r="G38" s="10">
        <f t="shared" si="0"/>
        <v>2542</v>
      </c>
      <c r="H38" s="14">
        <f t="shared" si="1"/>
        <v>0.58064516129032262</v>
      </c>
      <c r="I38" s="10">
        <f>SUM(I33:I37)</f>
        <v>1</v>
      </c>
      <c r="J38" s="10">
        <f t="shared" ref="J38" si="23">SUM(J33:J37)</f>
        <v>0</v>
      </c>
      <c r="K38" s="10">
        <f t="shared" ref="K38" si="24">SUM(K33:K37)</f>
        <v>5</v>
      </c>
      <c r="L38" s="10">
        <f t="shared" ref="L38" si="25">SUM(L33:L37)</f>
        <v>3</v>
      </c>
      <c r="M38" s="10">
        <f t="shared" ref="M38" si="26">SUM(M33:M37)</f>
        <v>0</v>
      </c>
      <c r="N38" s="10">
        <f t="shared" si="2"/>
        <v>9</v>
      </c>
      <c r="O38" s="14">
        <f t="shared" si="3"/>
        <v>3.5405192761605035E-3</v>
      </c>
      <c r="P38" s="10">
        <f>SUM(P33:P37)</f>
        <v>0</v>
      </c>
      <c r="Q38" s="16">
        <f t="shared" si="4"/>
        <v>0</v>
      </c>
      <c r="R38" s="10">
        <f>SUM(R33:R37)</f>
        <v>257</v>
      </c>
      <c r="S38" s="14">
        <f t="shared" si="5"/>
        <v>0.1011014948859166</v>
      </c>
    </row>
    <row r="39" spans="1:19" x14ac:dyDescent="0.25">
      <c r="A39" s="1" t="s">
        <v>58</v>
      </c>
      <c r="B39">
        <v>324</v>
      </c>
      <c r="C39">
        <v>178</v>
      </c>
      <c r="D39">
        <v>1</v>
      </c>
      <c r="E39">
        <v>0</v>
      </c>
      <c r="F39">
        <v>5</v>
      </c>
      <c r="G39" s="7">
        <f t="shared" si="0"/>
        <v>508</v>
      </c>
      <c r="H39" s="13">
        <f t="shared" si="1"/>
        <v>0.36220472440944884</v>
      </c>
      <c r="I39">
        <v>0</v>
      </c>
      <c r="J39">
        <v>0</v>
      </c>
      <c r="K39">
        <v>0</v>
      </c>
      <c r="L39">
        <v>0</v>
      </c>
      <c r="M39">
        <v>0</v>
      </c>
      <c r="N39" s="7">
        <f t="shared" si="2"/>
        <v>0</v>
      </c>
      <c r="O39" s="13">
        <f t="shared" si="3"/>
        <v>0</v>
      </c>
      <c r="Q39" s="15">
        <f t="shared" si="4"/>
        <v>0</v>
      </c>
      <c r="R39">
        <v>149</v>
      </c>
      <c r="S39" s="13">
        <f t="shared" si="5"/>
        <v>0.29330708661417321</v>
      </c>
    </row>
    <row r="40" spans="1:19" x14ac:dyDescent="0.25">
      <c r="A40" s="1" t="s">
        <v>59</v>
      </c>
      <c r="B40">
        <v>104</v>
      </c>
      <c r="C40">
        <v>183</v>
      </c>
      <c r="D40">
        <v>0</v>
      </c>
      <c r="E40">
        <v>0</v>
      </c>
      <c r="F40">
        <v>0</v>
      </c>
      <c r="G40" s="7">
        <f t="shared" si="0"/>
        <v>287</v>
      </c>
      <c r="H40" s="13">
        <f t="shared" si="1"/>
        <v>0.6376306620209059</v>
      </c>
      <c r="I40">
        <v>0</v>
      </c>
      <c r="J40">
        <v>0</v>
      </c>
      <c r="K40">
        <v>0</v>
      </c>
      <c r="L40">
        <v>0</v>
      </c>
      <c r="M40">
        <v>0</v>
      </c>
      <c r="N40" s="7">
        <f t="shared" si="2"/>
        <v>0</v>
      </c>
      <c r="O40" s="13">
        <f t="shared" si="3"/>
        <v>0</v>
      </c>
      <c r="Q40" s="15">
        <f t="shared" si="4"/>
        <v>0</v>
      </c>
      <c r="R40">
        <v>36</v>
      </c>
      <c r="S40" s="13">
        <f t="shared" si="5"/>
        <v>0.12543554006968641</v>
      </c>
    </row>
    <row r="41" spans="1:19" x14ac:dyDescent="0.25">
      <c r="A41" s="1" t="s">
        <v>60</v>
      </c>
      <c r="B41">
        <v>280</v>
      </c>
      <c r="C41">
        <v>220</v>
      </c>
      <c r="D41">
        <v>0</v>
      </c>
      <c r="E41">
        <v>0</v>
      </c>
      <c r="F41">
        <v>0</v>
      </c>
      <c r="G41" s="7">
        <f t="shared" si="0"/>
        <v>500</v>
      </c>
      <c r="H41" s="13">
        <f t="shared" si="1"/>
        <v>0.44</v>
      </c>
      <c r="I41">
        <v>0</v>
      </c>
      <c r="J41">
        <v>0</v>
      </c>
      <c r="K41">
        <v>0</v>
      </c>
      <c r="L41">
        <v>0</v>
      </c>
      <c r="M41">
        <v>0</v>
      </c>
      <c r="N41" s="7">
        <f t="shared" si="2"/>
        <v>0</v>
      </c>
      <c r="O41" s="13">
        <f t="shared" si="3"/>
        <v>0</v>
      </c>
      <c r="Q41" s="15">
        <f t="shared" si="4"/>
        <v>0</v>
      </c>
      <c r="R41">
        <v>68</v>
      </c>
      <c r="S41" s="13">
        <f t="shared" si="5"/>
        <v>0.13600000000000001</v>
      </c>
    </row>
    <row r="42" spans="1:19" x14ac:dyDescent="0.25">
      <c r="A42" s="1" t="s">
        <v>61</v>
      </c>
      <c r="B42">
        <v>320</v>
      </c>
      <c r="C42">
        <v>203</v>
      </c>
      <c r="D42">
        <v>0</v>
      </c>
      <c r="E42">
        <v>0</v>
      </c>
      <c r="F42">
        <v>1</v>
      </c>
      <c r="G42" s="7">
        <f t="shared" si="0"/>
        <v>524</v>
      </c>
      <c r="H42" s="13">
        <f t="shared" si="1"/>
        <v>0.38931297709923662</v>
      </c>
      <c r="I42">
        <v>0</v>
      </c>
      <c r="J42">
        <v>0</v>
      </c>
      <c r="K42">
        <v>1</v>
      </c>
      <c r="L42">
        <v>0</v>
      </c>
      <c r="M42">
        <v>0</v>
      </c>
      <c r="N42" s="7">
        <f t="shared" si="2"/>
        <v>1</v>
      </c>
      <c r="O42" s="13">
        <f t="shared" si="3"/>
        <v>1.9083969465648854E-3</v>
      </c>
      <c r="Q42" s="15">
        <f t="shared" si="4"/>
        <v>0</v>
      </c>
      <c r="R42">
        <v>134</v>
      </c>
      <c r="S42" s="13">
        <f t="shared" si="5"/>
        <v>0.25572519083969464</v>
      </c>
    </row>
    <row r="43" spans="1:19" x14ac:dyDescent="0.25">
      <c r="A43" s="1" t="s">
        <v>62</v>
      </c>
      <c r="B43">
        <v>285</v>
      </c>
      <c r="C43">
        <v>212</v>
      </c>
      <c r="D43">
        <v>0</v>
      </c>
      <c r="E43">
        <v>0</v>
      </c>
      <c r="F43">
        <v>0</v>
      </c>
      <c r="G43" s="7">
        <f t="shared" si="0"/>
        <v>497</v>
      </c>
      <c r="H43" s="13">
        <f t="shared" si="1"/>
        <v>0.42655935613682094</v>
      </c>
      <c r="I43">
        <v>0</v>
      </c>
      <c r="J43">
        <v>0</v>
      </c>
      <c r="K43">
        <v>0</v>
      </c>
      <c r="L43">
        <v>0</v>
      </c>
      <c r="M43">
        <v>0</v>
      </c>
      <c r="N43" s="7">
        <f t="shared" si="2"/>
        <v>0</v>
      </c>
      <c r="O43" s="13">
        <f t="shared" si="3"/>
        <v>0</v>
      </c>
      <c r="Q43" s="15">
        <f t="shared" si="4"/>
        <v>0</v>
      </c>
      <c r="R43">
        <v>55</v>
      </c>
      <c r="S43" s="13">
        <f t="shared" si="5"/>
        <v>0.11066398390342053</v>
      </c>
    </row>
    <row r="44" spans="1:19" x14ac:dyDescent="0.25">
      <c r="A44" s="9" t="s">
        <v>63</v>
      </c>
      <c r="B44" s="10">
        <f>SUM(B39:B43)</f>
        <v>1313</v>
      </c>
      <c r="C44" s="10">
        <f>SUM(C39:C43)</f>
        <v>996</v>
      </c>
      <c r="D44" s="10">
        <f>SUM(D39:D43)</f>
        <v>1</v>
      </c>
      <c r="E44" s="10">
        <f>SUM(E39:E43)</f>
        <v>0</v>
      </c>
      <c r="F44" s="10">
        <f>SUM(F39:F43)</f>
        <v>6</v>
      </c>
      <c r="G44" s="10">
        <f t="shared" si="0"/>
        <v>2316</v>
      </c>
      <c r="H44" s="14">
        <f t="shared" si="1"/>
        <v>0.43307426597582038</v>
      </c>
      <c r="I44" s="10">
        <f>SUM(I39:I43)</f>
        <v>0</v>
      </c>
      <c r="J44" s="10">
        <f t="shared" ref="J44" si="27">SUM(J39:J43)</f>
        <v>0</v>
      </c>
      <c r="K44" s="10">
        <f t="shared" ref="K44" si="28">SUM(K39:K43)</f>
        <v>1</v>
      </c>
      <c r="L44" s="10">
        <f t="shared" ref="L44" si="29">SUM(L39:L43)</f>
        <v>0</v>
      </c>
      <c r="M44" s="10">
        <f t="shared" ref="M44" si="30">SUM(M39:M43)</f>
        <v>0</v>
      </c>
      <c r="N44" s="10">
        <f t="shared" si="2"/>
        <v>1</v>
      </c>
      <c r="O44" s="14">
        <f t="shared" si="3"/>
        <v>4.3177892918825559E-4</v>
      </c>
      <c r="P44" s="10">
        <f>SUM(P39:P43)</f>
        <v>0</v>
      </c>
      <c r="Q44" s="16">
        <f t="shared" si="4"/>
        <v>0</v>
      </c>
      <c r="R44" s="10">
        <f>SUM(R39:R43)</f>
        <v>442</v>
      </c>
      <c r="S44" s="14">
        <f t="shared" si="5"/>
        <v>0.19084628670120898</v>
      </c>
    </row>
    <row r="45" spans="1:19" x14ac:dyDescent="0.25">
      <c r="A45" s="1" t="s">
        <v>64</v>
      </c>
      <c r="B45">
        <v>256</v>
      </c>
      <c r="C45">
        <v>255</v>
      </c>
      <c r="D45">
        <v>0</v>
      </c>
      <c r="E45">
        <v>1</v>
      </c>
      <c r="F45">
        <v>1</v>
      </c>
      <c r="G45" s="7">
        <f t="shared" si="0"/>
        <v>513</v>
      </c>
      <c r="H45" s="13">
        <f t="shared" si="1"/>
        <v>0.50097465886939574</v>
      </c>
      <c r="I45">
        <v>0</v>
      </c>
      <c r="J45">
        <v>2</v>
      </c>
      <c r="K45">
        <v>0</v>
      </c>
      <c r="L45">
        <v>0</v>
      </c>
      <c r="M45">
        <v>0</v>
      </c>
      <c r="N45" s="7">
        <f t="shared" si="2"/>
        <v>2</v>
      </c>
      <c r="O45" s="13">
        <f t="shared" si="3"/>
        <v>3.8986354775828458E-3</v>
      </c>
      <c r="Q45" s="15">
        <f t="shared" si="4"/>
        <v>0</v>
      </c>
      <c r="R45">
        <v>80</v>
      </c>
      <c r="S45" s="13">
        <f t="shared" si="5"/>
        <v>0.15594541910331383</v>
      </c>
    </row>
    <row r="46" spans="1:19" x14ac:dyDescent="0.25">
      <c r="A46" s="1" t="s">
        <v>65</v>
      </c>
      <c r="B46">
        <v>227</v>
      </c>
      <c r="C46">
        <v>338</v>
      </c>
      <c r="D46">
        <v>7</v>
      </c>
      <c r="E46">
        <v>2</v>
      </c>
      <c r="F46">
        <v>3</v>
      </c>
      <c r="G46" s="7">
        <f t="shared" si="0"/>
        <v>577</v>
      </c>
      <c r="H46" s="13">
        <f t="shared" si="1"/>
        <v>0.60658578856152512</v>
      </c>
      <c r="I46">
        <v>1</v>
      </c>
      <c r="J46">
        <v>0</v>
      </c>
      <c r="K46">
        <v>3</v>
      </c>
      <c r="L46">
        <v>3</v>
      </c>
      <c r="M46">
        <v>0</v>
      </c>
      <c r="N46" s="7">
        <f t="shared" si="2"/>
        <v>7</v>
      </c>
      <c r="O46" s="13">
        <f t="shared" si="3"/>
        <v>1.2131715771230503E-2</v>
      </c>
      <c r="Q46" s="15">
        <f t="shared" si="4"/>
        <v>0</v>
      </c>
      <c r="R46">
        <v>0</v>
      </c>
      <c r="S46" s="13">
        <f t="shared" si="5"/>
        <v>0</v>
      </c>
    </row>
    <row r="47" spans="1:19" x14ac:dyDescent="0.25">
      <c r="A47" s="1" t="s">
        <v>66</v>
      </c>
      <c r="B47">
        <v>287</v>
      </c>
      <c r="C47">
        <v>211</v>
      </c>
      <c r="D47">
        <v>5</v>
      </c>
      <c r="E47">
        <v>3</v>
      </c>
      <c r="F47">
        <v>3</v>
      </c>
      <c r="G47" s="7">
        <f t="shared" si="0"/>
        <v>509</v>
      </c>
      <c r="H47" s="13">
        <f t="shared" si="1"/>
        <v>0.43614931237721022</v>
      </c>
      <c r="I47">
        <v>2</v>
      </c>
      <c r="J47">
        <v>1</v>
      </c>
      <c r="K47">
        <v>2</v>
      </c>
      <c r="L47">
        <v>1</v>
      </c>
      <c r="M47">
        <v>0</v>
      </c>
      <c r="N47" s="7">
        <f t="shared" si="2"/>
        <v>6</v>
      </c>
      <c r="O47" s="13">
        <f t="shared" si="3"/>
        <v>1.1787819253438114E-2</v>
      </c>
      <c r="Q47" s="15">
        <f t="shared" si="4"/>
        <v>0</v>
      </c>
      <c r="R47">
        <v>96</v>
      </c>
      <c r="S47" s="13">
        <f t="shared" si="5"/>
        <v>0.18860510805500982</v>
      </c>
    </row>
    <row r="48" spans="1:19" x14ac:dyDescent="0.25">
      <c r="A48" s="1" t="s">
        <v>67</v>
      </c>
      <c r="B48">
        <v>241</v>
      </c>
      <c r="C48">
        <v>260</v>
      </c>
      <c r="D48">
        <v>2</v>
      </c>
      <c r="E48">
        <v>1</v>
      </c>
      <c r="F48">
        <v>2</v>
      </c>
      <c r="G48" s="7">
        <f t="shared" si="0"/>
        <v>506</v>
      </c>
      <c r="H48" s="13">
        <f t="shared" si="1"/>
        <v>0.52371541501976282</v>
      </c>
      <c r="I48">
        <v>1</v>
      </c>
      <c r="J48">
        <v>0</v>
      </c>
      <c r="K48">
        <v>0</v>
      </c>
      <c r="L48">
        <v>0</v>
      </c>
      <c r="M48">
        <v>0</v>
      </c>
      <c r="N48" s="7">
        <f t="shared" si="2"/>
        <v>1</v>
      </c>
      <c r="O48" s="13">
        <f t="shared" si="3"/>
        <v>1.976284584980237E-3</v>
      </c>
      <c r="Q48" s="15">
        <f t="shared" si="4"/>
        <v>0</v>
      </c>
      <c r="R48">
        <v>90</v>
      </c>
      <c r="S48" s="13">
        <f t="shared" si="5"/>
        <v>0.17786561264822134</v>
      </c>
    </row>
    <row r="49" spans="1:19" x14ac:dyDescent="0.25">
      <c r="A49" s="1" t="s">
        <v>68</v>
      </c>
      <c r="B49">
        <v>32</v>
      </c>
      <c r="C49">
        <v>117</v>
      </c>
      <c r="D49">
        <v>0</v>
      </c>
      <c r="E49">
        <v>0</v>
      </c>
      <c r="F49">
        <v>0</v>
      </c>
      <c r="G49" s="7">
        <f t="shared" si="0"/>
        <v>149</v>
      </c>
      <c r="H49" s="13">
        <f t="shared" si="1"/>
        <v>0.78523489932885904</v>
      </c>
      <c r="I49">
        <v>0</v>
      </c>
      <c r="J49">
        <v>0</v>
      </c>
      <c r="K49">
        <v>0</v>
      </c>
      <c r="L49">
        <v>0</v>
      </c>
      <c r="M49">
        <v>0</v>
      </c>
      <c r="N49" s="7">
        <f t="shared" si="2"/>
        <v>0</v>
      </c>
      <c r="O49" s="13">
        <f t="shared" si="3"/>
        <v>0</v>
      </c>
      <c r="Q49" s="15">
        <f t="shared" si="4"/>
        <v>0</v>
      </c>
      <c r="R49">
        <v>0</v>
      </c>
      <c r="S49" s="13">
        <f t="shared" si="5"/>
        <v>0</v>
      </c>
    </row>
    <row r="50" spans="1:19" x14ac:dyDescent="0.25">
      <c r="A50" s="9" t="s">
        <v>69</v>
      </c>
      <c r="B50" s="10">
        <f>SUM(B45:B49)</f>
        <v>1043</v>
      </c>
      <c r="C50" s="10">
        <f>SUM(C45:C49)</f>
        <v>1181</v>
      </c>
      <c r="D50" s="10">
        <f>SUM(D45:D49)</f>
        <v>14</v>
      </c>
      <c r="E50" s="10">
        <f>SUM(E45:E49)</f>
        <v>7</v>
      </c>
      <c r="F50" s="10">
        <f>SUM(F45:F49)</f>
        <v>9</v>
      </c>
      <c r="G50" s="10">
        <f t="shared" si="0"/>
        <v>2254</v>
      </c>
      <c r="H50" s="14">
        <f t="shared" si="1"/>
        <v>0.53726708074534157</v>
      </c>
      <c r="I50" s="10">
        <f>SUM(I45:I49)</f>
        <v>4</v>
      </c>
      <c r="J50" s="10">
        <f t="shared" ref="J50" si="31">SUM(J45:J49)</f>
        <v>3</v>
      </c>
      <c r="K50" s="10">
        <f t="shared" ref="K50" si="32">SUM(K45:K49)</f>
        <v>5</v>
      </c>
      <c r="L50" s="10">
        <f t="shared" ref="L50" si="33">SUM(L45:L49)</f>
        <v>4</v>
      </c>
      <c r="M50" s="10">
        <f t="shared" ref="M50" si="34">SUM(M45:M49)</f>
        <v>0</v>
      </c>
      <c r="N50" s="10">
        <f t="shared" si="2"/>
        <v>16</v>
      </c>
      <c r="O50" s="14">
        <f t="shared" si="3"/>
        <v>7.0984915705412602E-3</v>
      </c>
      <c r="P50" s="10">
        <f>SUM(P45:P49)</f>
        <v>0</v>
      </c>
      <c r="Q50" s="16">
        <f t="shared" si="4"/>
        <v>0</v>
      </c>
      <c r="R50" s="10">
        <f>SUM(R45:R49)</f>
        <v>266</v>
      </c>
      <c r="S50" s="14">
        <f t="shared" si="5"/>
        <v>0.11801242236024845</v>
      </c>
    </row>
  </sheetData>
  <mergeCells count="4">
    <mergeCell ref="B1:H1"/>
    <mergeCell ref="I1:O1"/>
    <mergeCell ref="A1:A2"/>
    <mergeCell ref="P1:S1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AA8D-93D0-4929-974C-496E115B6CB4}">
  <dimension ref="A1:Q58"/>
  <sheetViews>
    <sheetView workbookViewId="0">
      <selection activeCell="A9" sqref="A9"/>
    </sheetView>
  </sheetViews>
  <sheetFormatPr defaultRowHeight="15" x14ac:dyDescent="0.25"/>
  <sheetData>
    <row r="1" spans="1:17" x14ac:dyDescent="0.25">
      <c r="A1" t="s">
        <v>27</v>
      </c>
      <c r="B1" t="s">
        <v>33</v>
      </c>
      <c r="C1" t="s">
        <v>39</v>
      </c>
      <c r="D1" t="s">
        <v>45</v>
      </c>
      <c r="E1" t="s">
        <v>51</v>
      </c>
      <c r="F1" t="s">
        <v>57</v>
      </c>
      <c r="G1" t="s">
        <v>63</v>
      </c>
      <c r="H1" t="s">
        <v>69</v>
      </c>
      <c r="J1" t="s">
        <v>27</v>
      </c>
      <c r="K1" t="s">
        <v>33</v>
      </c>
      <c r="L1" t="s">
        <v>39</v>
      </c>
      <c r="M1" t="s">
        <v>45</v>
      </c>
      <c r="N1" t="s">
        <v>51</v>
      </c>
      <c r="O1" t="s">
        <v>57</v>
      </c>
      <c r="P1" t="s">
        <v>63</v>
      </c>
      <c r="Q1" t="s">
        <v>69</v>
      </c>
    </row>
    <row r="2" spans="1:17" x14ac:dyDescent="0.25">
      <c r="A2">
        <f>SUM(Tablica!C3:F3)/Tablica!G3</f>
        <v>0.33037300177619894</v>
      </c>
      <c r="B2">
        <f>SUM(Tablica!C9:F9)/Tablica!G9</f>
        <v>0.14000000000000001</v>
      </c>
      <c r="C2">
        <f>SUM(Tablica!C15:F15)/Tablica!G15</f>
        <v>0.29064039408866993</v>
      </c>
      <c r="D2">
        <f>SUM(Tablica!C21:F21)/Tablica!G21</f>
        <v>0.46106557377049179</v>
      </c>
      <c r="E2">
        <f>SUM(Tablica!C27:F27)/Tablica!G27</f>
        <v>0.45070422535211269</v>
      </c>
      <c r="F2">
        <f>SUM(Tablica!C33:F33)/Tablica!G33</f>
        <v>0.61499148211243615</v>
      </c>
      <c r="G2">
        <f>SUM(Tablica!C39:F39)/Tablica!G39</f>
        <v>0.36220472440944884</v>
      </c>
      <c r="H2">
        <f>SUM(Tablica!C45:F45)/Tablica!G45</f>
        <v>0.50097465886939574</v>
      </c>
      <c r="J2">
        <f>_xlfn.STDEV.S(A2:A6)*100</f>
        <v>4.9770534092707477</v>
      </c>
      <c r="K2">
        <f t="shared" ref="K2:Q2" si="0">_xlfn.STDEV.S(B2:B6)*100</f>
        <v>27.759511583188573</v>
      </c>
      <c r="L2">
        <f t="shared" si="0"/>
        <v>14.281654479862423</v>
      </c>
      <c r="M2">
        <f t="shared" si="0"/>
        <v>8.1821701798183053</v>
      </c>
      <c r="N2">
        <f t="shared" si="0"/>
        <v>4.8115260372147439</v>
      </c>
      <c r="O2">
        <f t="shared" si="0"/>
        <v>3.7583119387857931</v>
      </c>
      <c r="P2">
        <f t="shared" si="0"/>
        <v>10.867283315868828</v>
      </c>
      <c r="Q2">
        <f t="shared" si="0"/>
        <v>13.461605932888512</v>
      </c>
    </row>
    <row r="3" spans="1:17" x14ac:dyDescent="0.25">
      <c r="A3">
        <f>SUM(Tablica!C4:F4)/Tablica!G4</f>
        <v>0.25552050473186122</v>
      </c>
      <c r="B3">
        <f>SUM(Tablica!C10:F10)/Tablica!G10</f>
        <v>0.60079840319361277</v>
      </c>
      <c r="C3">
        <f>SUM(Tablica!C16:F16)/Tablica!G16</f>
        <v>0.64719101123595502</v>
      </c>
      <c r="D3">
        <f>SUM(Tablica!C22:F22)/Tablica!G22</f>
        <v>0.64619615032080657</v>
      </c>
      <c r="E3">
        <f>SUM(Tablica!C28:F28)/Tablica!G28</f>
        <v>0.55429864253393668</v>
      </c>
      <c r="F3">
        <f>SUM(Tablica!C34:F34)/Tablica!G34</f>
        <v>0.51458885941644561</v>
      </c>
      <c r="G3">
        <f>SUM(Tablica!C40:F40)/Tablica!G40</f>
        <v>0.6376306620209059</v>
      </c>
      <c r="H3">
        <f>SUM(Tablica!C46:F46)/Tablica!G46</f>
        <v>0.60658578856152512</v>
      </c>
    </row>
    <row r="4" spans="1:17" x14ac:dyDescent="0.25">
      <c r="A4">
        <f>SUM(Tablica!C5:F5)/Tablica!G5</f>
        <v>0.30038022813688214</v>
      </c>
      <c r="B4">
        <f>SUM(Tablica!C11:F11)/Tablica!G11</f>
        <v>0.5</v>
      </c>
      <c r="C4">
        <f>SUM(Tablica!C17:F17)/Tablica!G17</f>
        <v>0.63116370808678501</v>
      </c>
      <c r="D4">
        <f>SUM(Tablica!C23:F23)/Tablica!G23</f>
        <v>0.56134969325153372</v>
      </c>
      <c r="E4">
        <f>SUM(Tablica!C29:F29)/Tablica!G29</f>
        <v>0.50181818181818183</v>
      </c>
      <c r="F4">
        <f>SUM(Tablica!C35:F35)/Tablica!G35</f>
        <v>0.57450331125827814</v>
      </c>
      <c r="G4">
        <f>SUM(Tablica!C41:F41)/Tablica!G41</f>
        <v>0.44</v>
      </c>
      <c r="H4">
        <f>SUM(Tablica!C47:F47)/Tablica!G47</f>
        <v>0.43614931237721022</v>
      </c>
    </row>
    <row r="5" spans="1:17" x14ac:dyDescent="0.25">
      <c r="A5">
        <f>SUM(Tablica!C6:F6)/Tablica!G6</f>
        <v>0.39240506329113922</v>
      </c>
      <c r="B5">
        <f>SUM(Tablica!C12:F12)/Tablica!G12</f>
        <v>0.80314960629921262</v>
      </c>
      <c r="C5">
        <f>SUM(Tablica!C18:F18)/Tablica!G18</f>
        <v>0.49789915966386555</v>
      </c>
      <c r="D5">
        <f>SUM(Tablica!C24:F24)/Tablica!G24</f>
        <v>0.55555555555555558</v>
      </c>
      <c r="F5">
        <f>SUM(Tablica!C36:F36)/Tablica!G36</f>
        <v>0.58899082568807337</v>
      </c>
      <c r="G5">
        <f>SUM(Tablica!C42:F42)/Tablica!G42</f>
        <v>0.38931297709923662</v>
      </c>
      <c r="H5">
        <f>SUM(Tablica!C48:F48)/Tablica!G48</f>
        <v>0.52371541501976282</v>
      </c>
    </row>
    <row r="6" spans="1:17" x14ac:dyDescent="0.25">
      <c r="A6">
        <f>SUM(Tablica!C7:F7)/Tablica!G7</f>
        <v>0.31516587677725116</v>
      </c>
      <c r="C6">
        <f>SUM(Tablica!C19:F19)/Tablica!G19</f>
        <v>0.51666666666666672</v>
      </c>
      <c r="D6">
        <f>SUM(Tablica!C25:F25)/Tablica!G25</f>
        <v>0.44648318042813456</v>
      </c>
      <c r="E6">
        <f>SUM(Tablica!C31:F31)/Tablica!G31</f>
        <v>0.45638945233265721</v>
      </c>
      <c r="F6">
        <f>SUM(Tablica!C37:F37)/Tablica!G37</f>
        <v>0.58974358974358976</v>
      </c>
      <c r="G6">
        <f>SUM(Tablica!C43:F43)/Tablica!G43</f>
        <v>0.42655935613682094</v>
      </c>
      <c r="H6">
        <f>SUM(Tablica!C49:F49)/Tablica!G49</f>
        <v>0.78523489932885904</v>
      </c>
    </row>
    <row r="8" spans="1:17" x14ac:dyDescent="0.25">
      <c r="A8" t="s">
        <v>70</v>
      </c>
    </row>
    <row r="10" spans="1:17" ht="15.75" thickBot="1" x14ac:dyDescent="0.3">
      <c r="A10" t="s">
        <v>71</v>
      </c>
    </row>
    <row r="11" spans="1:17" x14ac:dyDescent="0.25">
      <c r="A11" s="18" t="s">
        <v>72</v>
      </c>
      <c r="B11" s="18" t="s">
        <v>73</v>
      </c>
      <c r="C11" s="18" t="s">
        <v>74</v>
      </c>
      <c r="D11" s="18" t="s">
        <v>75</v>
      </c>
      <c r="E11" s="18" t="s">
        <v>76</v>
      </c>
    </row>
    <row r="12" spans="1:17" x14ac:dyDescent="0.25">
      <c r="A12" t="s">
        <v>77</v>
      </c>
      <c r="B12">
        <v>5</v>
      </c>
      <c r="C12">
        <v>1.5938446747133326</v>
      </c>
      <c r="D12">
        <v>0.3187689349426665</v>
      </c>
      <c r="E12">
        <v>2.4771060638733577E-3</v>
      </c>
    </row>
    <row r="13" spans="1:17" x14ac:dyDescent="0.25">
      <c r="A13" t="s">
        <v>78</v>
      </c>
      <c r="B13">
        <v>4</v>
      </c>
      <c r="C13">
        <v>2.0439480094928255</v>
      </c>
      <c r="D13">
        <v>0.51098700237320638</v>
      </c>
      <c r="E13">
        <v>7.7059048333718058E-2</v>
      </c>
    </row>
    <row r="14" spans="1:17" x14ac:dyDescent="0.25">
      <c r="A14" t="s">
        <v>79</v>
      </c>
      <c r="B14">
        <v>5</v>
      </c>
      <c r="C14">
        <v>2.5835609397419423</v>
      </c>
      <c r="D14">
        <v>0.51671218794838847</v>
      </c>
      <c r="E14">
        <v>2.0396565468217442E-2</v>
      </c>
    </row>
    <row r="15" spans="1:17" x14ac:dyDescent="0.25">
      <c r="A15" t="s">
        <v>80</v>
      </c>
      <c r="B15">
        <v>5</v>
      </c>
      <c r="C15">
        <v>2.6706501533265223</v>
      </c>
      <c r="D15">
        <v>0.53413003066530451</v>
      </c>
      <c r="E15">
        <v>6.694790885150792E-3</v>
      </c>
    </row>
    <row r="16" spans="1:17" x14ac:dyDescent="0.25">
      <c r="A16" t="s">
        <v>81</v>
      </c>
      <c r="B16">
        <v>4</v>
      </c>
      <c r="C16">
        <v>1.9632105020368886</v>
      </c>
      <c r="D16">
        <v>0.49080262550922216</v>
      </c>
      <c r="E16">
        <v>2.3150782806795416E-3</v>
      </c>
    </row>
    <row r="17" spans="1:7" x14ac:dyDescent="0.25">
      <c r="A17" t="s">
        <v>82</v>
      </c>
      <c r="B17">
        <v>5</v>
      </c>
      <c r="C17">
        <v>2.8828180682188234</v>
      </c>
      <c r="D17">
        <v>0.57656361364376463</v>
      </c>
      <c r="E17">
        <v>1.4124908629219825E-3</v>
      </c>
    </row>
    <row r="18" spans="1:7" x14ac:dyDescent="0.25">
      <c r="A18" t="s">
        <v>83</v>
      </c>
      <c r="B18">
        <v>5</v>
      </c>
      <c r="C18">
        <v>2.2557077196664124</v>
      </c>
      <c r="D18">
        <v>0.45114154393328249</v>
      </c>
      <c r="E18">
        <v>1.1809784666736101E-2</v>
      </c>
    </row>
    <row r="19" spans="1:7" ht="15.75" thickBot="1" x14ac:dyDescent="0.3">
      <c r="A19" s="17" t="s">
        <v>84</v>
      </c>
      <c r="B19" s="17">
        <v>5</v>
      </c>
      <c r="C19" s="17">
        <v>2.8526600741567529</v>
      </c>
      <c r="D19" s="17">
        <v>0.57053201483135063</v>
      </c>
      <c r="E19" s="17">
        <v>1.8121483429237917E-2</v>
      </c>
    </row>
    <row r="22" spans="1:7" ht="15.75" thickBot="1" x14ac:dyDescent="0.3">
      <c r="A22" t="s">
        <v>85</v>
      </c>
    </row>
    <row r="23" spans="1:7" x14ac:dyDescent="0.25">
      <c r="A23" s="18" t="s">
        <v>86</v>
      </c>
      <c r="B23" s="18" t="s">
        <v>87</v>
      </c>
      <c r="C23" s="18" t="s">
        <v>88</v>
      </c>
      <c r="D23" s="18" t="s">
        <v>89</v>
      </c>
      <c r="E23" s="18" t="s">
        <v>90</v>
      </c>
      <c r="F23" s="18" t="s">
        <v>91</v>
      </c>
      <c r="G23" s="18" t="s">
        <v>92</v>
      </c>
    </row>
    <row r="24" spans="1:7" x14ac:dyDescent="0.25">
      <c r="A24" t="s">
        <v>93</v>
      </c>
      <c r="B24">
        <v>0.23776413715218564</v>
      </c>
      <c r="C24">
        <v>7</v>
      </c>
      <c r="D24">
        <v>3.3966305307455091E-2</v>
      </c>
      <c r="E24">
        <v>2.1150891149312199</v>
      </c>
      <c r="F24">
        <v>7.2589752092790866E-2</v>
      </c>
      <c r="G24">
        <v>2.334343964844781</v>
      </c>
    </row>
    <row r="25" spans="1:7" x14ac:dyDescent="0.25">
      <c r="A25" t="s">
        <v>94</v>
      </c>
      <c r="B25">
        <v>0.48177126534774356</v>
      </c>
      <c r="C25">
        <v>30</v>
      </c>
      <c r="D25">
        <v>1.6059042178258119E-2</v>
      </c>
    </row>
    <row r="27" spans="1:7" ht="15.75" thickBot="1" x14ac:dyDescent="0.3">
      <c r="A27" s="17" t="s">
        <v>95</v>
      </c>
      <c r="B27" s="17">
        <v>0.7195354024999292</v>
      </c>
      <c r="C27" s="17">
        <v>37</v>
      </c>
      <c r="D27" s="17"/>
      <c r="E27" s="17"/>
      <c r="F27" s="17"/>
      <c r="G27" s="17"/>
    </row>
    <row r="30" spans="1:7" x14ac:dyDescent="0.25">
      <c r="A30" t="s">
        <v>96</v>
      </c>
      <c r="B30" t="s">
        <v>97</v>
      </c>
      <c r="C30" t="s">
        <v>98</v>
      </c>
      <c r="D30" t="s">
        <v>99</v>
      </c>
      <c r="E30" t="s">
        <v>100</v>
      </c>
      <c r="F30" t="s">
        <v>101</v>
      </c>
    </row>
    <row r="31" spans="1:7" x14ac:dyDescent="0.25">
      <c r="A31" t="s">
        <v>27</v>
      </c>
      <c r="B31" t="s">
        <v>33</v>
      </c>
      <c r="C31">
        <v>-0.192218</v>
      </c>
      <c r="D31">
        <v>0.34658499999999998</v>
      </c>
      <c r="E31">
        <v>-0.46881200000000001</v>
      </c>
      <c r="F31">
        <v>8.4376000000000007E-2</v>
      </c>
    </row>
    <row r="32" spans="1:7" x14ac:dyDescent="0.25">
      <c r="A32" t="s">
        <v>27</v>
      </c>
      <c r="B32" t="s">
        <v>39</v>
      </c>
      <c r="C32">
        <v>-0.19794300000000001</v>
      </c>
      <c r="D32">
        <v>0.24653</v>
      </c>
      <c r="E32">
        <v>-0.45871800000000001</v>
      </c>
      <c r="F32">
        <v>6.2831999999999999E-2</v>
      </c>
    </row>
    <row r="33" spans="1:6" x14ac:dyDescent="0.25">
      <c r="A33" t="s">
        <v>27</v>
      </c>
      <c r="B33" t="s">
        <v>45</v>
      </c>
      <c r="C33">
        <v>-0.215361</v>
      </c>
      <c r="D33">
        <v>0.16576199999999999</v>
      </c>
      <c r="E33">
        <v>-0.476136</v>
      </c>
      <c r="F33">
        <v>4.5414000000000003E-2</v>
      </c>
    </row>
    <row r="34" spans="1:6" x14ac:dyDescent="0.25">
      <c r="A34" t="s">
        <v>27</v>
      </c>
      <c r="B34" t="s">
        <v>51</v>
      </c>
      <c r="C34">
        <v>-0.17203399999999999</v>
      </c>
      <c r="D34">
        <v>0.483763</v>
      </c>
      <c r="E34">
        <v>-0.44862800000000003</v>
      </c>
      <c r="F34">
        <v>0.10456</v>
      </c>
    </row>
    <row r="35" spans="1:6" x14ac:dyDescent="0.25">
      <c r="A35" t="s">
        <v>27</v>
      </c>
      <c r="B35" t="s">
        <v>57</v>
      </c>
      <c r="C35">
        <v>-0.257795</v>
      </c>
      <c r="D35">
        <v>5.4420999999999997E-2</v>
      </c>
      <c r="E35">
        <v>-0.51856999999999998</v>
      </c>
      <c r="F35">
        <v>2.98E-3</v>
      </c>
    </row>
    <row r="36" spans="1:6" x14ac:dyDescent="0.25">
      <c r="A36" t="s">
        <v>27</v>
      </c>
      <c r="B36" t="s">
        <v>63</v>
      </c>
      <c r="C36">
        <v>-0.13237299999999999</v>
      </c>
      <c r="D36">
        <v>0.71640099999999995</v>
      </c>
      <c r="E36">
        <v>-0.393148</v>
      </c>
      <c r="F36">
        <v>0.12840299999999999</v>
      </c>
    </row>
    <row r="37" spans="1:6" x14ac:dyDescent="0.25">
      <c r="A37" s="19" t="s">
        <v>27</v>
      </c>
      <c r="B37" s="19" t="s">
        <v>69</v>
      </c>
      <c r="C37" s="19">
        <v>-0.25176300000000001</v>
      </c>
      <c r="D37" s="19">
        <v>6.4449999999999993E-2</v>
      </c>
      <c r="E37" s="19">
        <v>-0.51253800000000005</v>
      </c>
      <c r="F37" s="19">
        <v>9.0119999999999992E-3</v>
      </c>
    </row>
    <row r="38" spans="1:6" x14ac:dyDescent="0.25">
      <c r="A38" t="s">
        <v>33</v>
      </c>
      <c r="B38" t="s">
        <v>39</v>
      </c>
      <c r="C38">
        <v>-5.7250000000000001E-3</v>
      </c>
      <c r="D38">
        <v>1</v>
      </c>
      <c r="E38">
        <v>-0.28231899999999999</v>
      </c>
      <c r="F38">
        <v>0.27086900000000003</v>
      </c>
    </row>
    <row r="39" spans="1:6" x14ac:dyDescent="0.25">
      <c r="A39" t="s">
        <v>33</v>
      </c>
      <c r="B39" t="s">
        <v>45</v>
      </c>
      <c r="C39">
        <v>-2.3143E-2</v>
      </c>
      <c r="D39">
        <v>0.99999300000000002</v>
      </c>
      <c r="E39">
        <v>-0.29973699999999998</v>
      </c>
      <c r="F39">
        <v>0.25345099999999998</v>
      </c>
    </row>
    <row r="40" spans="1:6" x14ac:dyDescent="0.25">
      <c r="A40" t="s">
        <v>33</v>
      </c>
      <c r="B40" t="s">
        <v>51</v>
      </c>
      <c r="C40">
        <v>2.0184000000000001E-2</v>
      </c>
      <c r="D40">
        <v>0.99999800000000005</v>
      </c>
      <c r="E40">
        <v>-0.27137099999999997</v>
      </c>
      <c r="F40">
        <v>0.31174000000000002</v>
      </c>
    </row>
    <row r="41" spans="1:6" x14ac:dyDescent="0.25">
      <c r="A41" t="s">
        <v>33</v>
      </c>
      <c r="B41" t="s">
        <v>57</v>
      </c>
      <c r="C41">
        <v>-6.5576999999999996E-2</v>
      </c>
      <c r="D41">
        <v>0.993425</v>
      </c>
      <c r="E41">
        <v>-0.34216999999999997</v>
      </c>
      <c r="F41">
        <v>0.21101700000000001</v>
      </c>
    </row>
    <row r="42" spans="1:6" x14ac:dyDescent="0.25">
      <c r="A42" t="s">
        <v>33</v>
      </c>
      <c r="B42" t="s">
        <v>63</v>
      </c>
      <c r="C42">
        <v>5.9845000000000002E-2</v>
      </c>
      <c r="D42">
        <v>0.99623200000000001</v>
      </c>
      <c r="E42">
        <v>-0.216748</v>
      </c>
      <c r="F42">
        <v>0.33643899999999999</v>
      </c>
    </row>
    <row r="43" spans="1:6" x14ac:dyDescent="0.25">
      <c r="A43" s="19" t="s">
        <v>33</v>
      </c>
      <c r="B43" s="19" t="s">
        <v>69</v>
      </c>
      <c r="C43" s="19">
        <v>-5.9545000000000001E-2</v>
      </c>
      <c r="D43" s="19">
        <v>0.99634699999999998</v>
      </c>
      <c r="E43" s="19">
        <v>-0.33613900000000002</v>
      </c>
      <c r="F43" s="19">
        <v>0.21704899999999999</v>
      </c>
    </row>
    <row r="44" spans="1:6" x14ac:dyDescent="0.25">
      <c r="A44" t="s">
        <v>39</v>
      </c>
      <c r="B44" t="s">
        <v>45</v>
      </c>
      <c r="C44">
        <v>-1.7417999999999999E-2</v>
      </c>
      <c r="D44">
        <v>0.99999899999999997</v>
      </c>
      <c r="E44">
        <v>-0.27819300000000002</v>
      </c>
      <c r="F44">
        <v>0.24335699999999999</v>
      </c>
    </row>
    <row r="45" spans="1:6" x14ac:dyDescent="0.25">
      <c r="A45" t="s">
        <v>39</v>
      </c>
      <c r="B45" t="s">
        <v>51</v>
      </c>
      <c r="C45">
        <v>2.5909999999999999E-2</v>
      </c>
      <c r="D45">
        <v>0.99998500000000001</v>
      </c>
      <c r="E45">
        <v>-0.25068400000000002</v>
      </c>
      <c r="F45">
        <v>0.30250300000000002</v>
      </c>
    </row>
    <row r="46" spans="1:6" x14ac:dyDescent="0.25">
      <c r="A46" t="s">
        <v>39</v>
      </c>
      <c r="B46" t="s">
        <v>57</v>
      </c>
      <c r="C46">
        <v>-5.9851000000000001E-2</v>
      </c>
      <c r="D46">
        <v>0.99459500000000001</v>
      </c>
      <c r="E46">
        <v>-0.320627</v>
      </c>
      <c r="F46">
        <v>0.20092399999999999</v>
      </c>
    </row>
    <row r="47" spans="1:6" x14ac:dyDescent="0.25">
      <c r="A47" t="s">
        <v>39</v>
      </c>
      <c r="B47" t="s">
        <v>45</v>
      </c>
      <c r="C47">
        <v>6.5571000000000004E-2</v>
      </c>
      <c r="D47">
        <v>0.99066799999999999</v>
      </c>
      <c r="E47">
        <v>-0.19520499999999999</v>
      </c>
      <c r="F47">
        <v>0.32634600000000002</v>
      </c>
    </row>
    <row r="48" spans="1:6" x14ac:dyDescent="0.25">
      <c r="A48" s="19" t="s">
        <v>39</v>
      </c>
      <c r="B48" s="19" t="s">
        <v>69</v>
      </c>
      <c r="C48" s="19">
        <v>-5.382E-2</v>
      </c>
      <c r="D48" s="19">
        <v>0.99718899999999999</v>
      </c>
      <c r="E48" s="19">
        <v>-0.31459500000000001</v>
      </c>
      <c r="F48" s="19">
        <v>0.206955</v>
      </c>
    </row>
    <row r="49" spans="1:6" x14ac:dyDescent="0.25">
      <c r="A49" t="s">
        <v>45</v>
      </c>
      <c r="B49" t="s">
        <v>51</v>
      </c>
      <c r="C49">
        <v>4.3326999999999997E-2</v>
      </c>
      <c r="D49">
        <v>0.99951900000000005</v>
      </c>
      <c r="E49">
        <v>-0.233266</v>
      </c>
      <c r="F49">
        <v>0.31992100000000001</v>
      </c>
    </row>
    <row r="50" spans="1:6" x14ac:dyDescent="0.25">
      <c r="A50" t="s">
        <v>45</v>
      </c>
      <c r="B50" t="s">
        <v>57</v>
      </c>
      <c r="C50">
        <v>-4.2433999999999999E-2</v>
      </c>
      <c r="D50">
        <v>0.99938400000000005</v>
      </c>
      <c r="E50">
        <v>-0.30320900000000001</v>
      </c>
      <c r="F50">
        <v>0.21834200000000001</v>
      </c>
    </row>
    <row r="51" spans="1:6" x14ac:dyDescent="0.25">
      <c r="A51" t="s">
        <v>45</v>
      </c>
      <c r="B51" t="s">
        <v>63</v>
      </c>
      <c r="C51">
        <v>8.2988000000000006E-2</v>
      </c>
      <c r="D51">
        <v>0.96488600000000002</v>
      </c>
      <c r="E51">
        <v>-0.177787</v>
      </c>
      <c r="F51">
        <v>0.34376400000000001</v>
      </c>
    </row>
    <row r="52" spans="1:6" x14ac:dyDescent="0.25">
      <c r="A52" s="19" t="s">
        <v>45</v>
      </c>
      <c r="B52" s="19" t="s">
        <v>69</v>
      </c>
      <c r="C52" s="19">
        <v>-3.6401999999999997E-2</v>
      </c>
      <c r="D52" s="19">
        <v>0.99977499999999997</v>
      </c>
      <c r="E52" s="19">
        <v>-0.29717700000000002</v>
      </c>
      <c r="F52" s="19">
        <v>0.22437299999999999</v>
      </c>
    </row>
    <row r="53" spans="1:6" x14ac:dyDescent="0.25">
      <c r="A53" t="s">
        <v>51</v>
      </c>
      <c r="B53" t="s">
        <v>57</v>
      </c>
      <c r="C53">
        <v>-8.5761000000000004E-2</v>
      </c>
      <c r="D53">
        <v>0.96945499999999996</v>
      </c>
      <c r="E53">
        <v>-0.36235499999999998</v>
      </c>
      <c r="F53">
        <v>0.190833</v>
      </c>
    </row>
    <row r="54" spans="1:6" x14ac:dyDescent="0.25">
      <c r="A54" t="s">
        <v>51</v>
      </c>
      <c r="B54" t="s">
        <v>63</v>
      </c>
      <c r="C54">
        <v>3.9661000000000002E-2</v>
      </c>
      <c r="D54">
        <v>0.99973100000000004</v>
      </c>
      <c r="E54">
        <v>-0.236933</v>
      </c>
      <c r="F54">
        <v>0.31625500000000001</v>
      </c>
    </row>
    <row r="55" spans="1:6" x14ac:dyDescent="0.25">
      <c r="A55" s="19" t="s">
        <v>51</v>
      </c>
      <c r="B55" s="19" t="s">
        <v>69</v>
      </c>
      <c r="C55" s="19">
        <v>-7.9728999999999994E-2</v>
      </c>
      <c r="D55" s="19">
        <v>0.97953599999999996</v>
      </c>
      <c r="E55" s="19">
        <v>-0.356323</v>
      </c>
      <c r="F55" s="19">
        <v>0.19686400000000001</v>
      </c>
    </row>
    <row r="56" spans="1:6" x14ac:dyDescent="0.25">
      <c r="A56" t="s">
        <v>57</v>
      </c>
      <c r="B56" t="s">
        <v>63</v>
      </c>
      <c r="C56">
        <v>0.12542200000000001</v>
      </c>
      <c r="D56">
        <v>0.76644699999999999</v>
      </c>
      <c r="E56">
        <v>-0.135353</v>
      </c>
      <c r="F56">
        <v>0.38619700000000001</v>
      </c>
    </row>
    <row r="57" spans="1:6" x14ac:dyDescent="0.25">
      <c r="A57" s="19" t="s">
        <v>57</v>
      </c>
      <c r="B57" s="19" t="s">
        <v>69</v>
      </c>
      <c r="C57" s="19">
        <v>6.032E-3</v>
      </c>
      <c r="D57" s="19">
        <v>1</v>
      </c>
      <c r="E57" s="19">
        <v>-0.25474400000000003</v>
      </c>
      <c r="F57" s="19">
        <v>0.26680700000000002</v>
      </c>
    </row>
    <row r="58" spans="1:6" x14ac:dyDescent="0.25">
      <c r="A58" t="s">
        <v>63</v>
      </c>
      <c r="B58" t="s">
        <v>69</v>
      </c>
      <c r="C58">
        <v>-0.11939</v>
      </c>
      <c r="D58">
        <v>0.80676499999999995</v>
      </c>
      <c r="E58">
        <v>-0.380166</v>
      </c>
      <c r="F58">
        <v>0.14138500000000001</v>
      </c>
    </row>
  </sheetData>
  <conditionalFormatting sqref="D31:D58">
    <cfRule type="cellIs" dxfId="5" priority="2" operator="lessThan">
      <formula>0.05</formula>
    </cfRule>
  </conditionalFormatting>
  <conditionalFormatting sqref="D35">
    <cfRule type="cellIs" dxfId="4" priority="1" operator="between">
      <formula>0.04</formula>
      <formula>0.51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F839-586E-42CE-8A62-B057F9D9C2C5}">
  <dimension ref="A1:Q57"/>
  <sheetViews>
    <sheetView workbookViewId="0">
      <selection activeCell="A9" sqref="A9"/>
    </sheetView>
  </sheetViews>
  <sheetFormatPr defaultRowHeight="15" x14ac:dyDescent="0.25"/>
  <sheetData>
    <row r="1" spans="1:17" x14ac:dyDescent="0.25">
      <c r="A1" t="s">
        <v>27</v>
      </c>
      <c r="B1" t="s">
        <v>33</v>
      </c>
      <c r="C1" t="s">
        <v>39</v>
      </c>
      <c r="D1" t="s">
        <v>45</v>
      </c>
      <c r="E1" t="s">
        <v>51</v>
      </c>
      <c r="F1" t="s">
        <v>57</v>
      </c>
      <c r="G1" t="s">
        <v>63</v>
      </c>
      <c r="H1" t="s">
        <v>69</v>
      </c>
      <c r="J1" t="s">
        <v>27</v>
      </c>
      <c r="K1" t="s">
        <v>33</v>
      </c>
      <c r="L1" t="s">
        <v>39</v>
      </c>
      <c r="M1" t="s">
        <v>45</v>
      </c>
      <c r="N1" t="s">
        <v>51</v>
      </c>
      <c r="O1" t="s">
        <v>57</v>
      </c>
      <c r="P1" t="s">
        <v>63</v>
      </c>
      <c r="Q1" t="s">
        <v>69</v>
      </c>
    </row>
    <row r="2" spans="1:17" x14ac:dyDescent="0.25">
      <c r="A2">
        <f>Tablica!N3/Tablica!G3</f>
        <v>0</v>
      </c>
      <c r="B2">
        <f>Tablica!N9/Tablica!G9</f>
        <v>2E-3</v>
      </c>
      <c r="C2">
        <f>Tablica!N15/Tablica!G15</f>
        <v>0</v>
      </c>
      <c r="D2">
        <f>Tablica!N21/Tablica!G21</f>
        <v>0</v>
      </c>
      <c r="E2">
        <f>Tablica!N27/Tablica!G27</f>
        <v>1.7605633802816902E-3</v>
      </c>
      <c r="F2">
        <f>Tablica!N33/Tablica!G33</f>
        <v>5.1107325383304937E-3</v>
      </c>
      <c r="G2">
        <f>Tablica!N39/Tablica!G39</f>
        <v>0</v>
      </c>
      <c r="H2">
        <f>Tablica!N45/Tablica!G45</f>
        <v>3.8986354775828458E-3</v>
      </c>
      <c r="J2">
        <f>_xlfn.STDEV.S(A2:A6)*100</f>
        <v>9.5946319209763639E-2</v>
      </c>
      <c r="K2">
        <f t="shared" ref="K2:Q2" si="0">_xlfn.STDEV.S(B2:B6)*100</f>
        <v>0.34102675706570662</v>
      </c>
      <c r="L2">
        <f t="shared" si="0"/>
        <v>0.29814239699997197</v>
      </c>
      <c r="M2">
        <f t="shared" si="0"/>
        <v>0.12493906755532591</v>
      </c>
      <c r="N2">
        <f t="shared" si="0"/>
        <v>0.63318946509280338</v>
      </c>
      <c r="O2">
        <f t="shared" si="0"/>
        <v>0.48368623484643725</v>
      </c>
      <c r="P2">
        <f t="shared" si="0"/>
        <v>8.5346106011442352E-2</v>
      </c>
      <c r="Q2">
        <f t="shared" si="0"/>
        <v>0.56500964342330906</v>
      </c>
    </row>
    <row r="3" spans="1:17" x14ac:dyDescent="0.25">
      <c r="A3">
        <f>Tablica!N4/Tablica!G4</f>
        <v>1.5772870662460567E-3</v>
      </c>
      <c r="B3">
        <f>Tablica!N10/Tablica!G10</f>
        <v>7.9840319361277438E-3</v>
      </c>
      <c r="C3">
        <f>Tablica!N16/Tablica!G16</f>
        <v>0</v>
      </c>
      <c r="D3">
        <f>Tablica!N22/Tablica!G22</f>
        <v>2.7497708524289641E-3</v>
      </c>
      <c r="E3">
        <f>Tablica!N28/Tablica!G28</f>
        <v>4.5248868778280547E-3</v>
      </c>
      <c r="F3">
        <f>Tablica!N34/Tablica!G34</f>
        <v>2.6525198938992041E-3</v>
      </c>
      <c r="G3">
        <f>Tablica!N40/Tablica!G40</f>
        <v>0</v>
      </c>
      <c r="H3">
        <f>Tablica!N46/Tablica!G46</f>
        <v>1.2131715771230503E-2</v>
      </c>
    </row>
    <row r="4" spans="1:17" x14ac:dyDescent="0.25">
      <c r="A4">
        <f>Tablica!N5/Tablica!G5</f>
        <v>1.9011406844106464E-3</v>
      </c>
      <c r="B4">
        <f>Tablica!N11/Tablica!G11</f>
        <v>4.0322580645161289E-3</v>
      </c>
      <c r="C4">
        <f>Tablica!N17/Tablica!G17</f>
        <v>0</v>
      </c>
      <c r="D4">
        <f>Tablica!N23/Tablica!G23</f>
        <v>1.5337423312883436E-3</v>
      </c>
      <c r="E4">
        <f>Tablica!N29/Tablica!G29</f>
        <v>0</v>
      </c>
      <c r="F4">
        <f>Tablica!N35/Tablica!G35</f>
        <v>0</v>
      </c>
      <c r="G4">
        <f>Tablica!N41/Tablica!G41</f>
        <v>0</v>
      </c>
      <c r="H4">
        <f>Tablica!N47/Tablica!G47</f>
        <v>1.1787819253438114E-2</v>
      </c>
    </row>
    <row r="5" spans="1:17" x14ac:dyDescent="0.25">
      <c r="A5">
        <f>Tablica!N6/Tablica!G6</f>
        <v>0</v>
      </c>
      <c r="B5">
        <f>Tablica!N12/Tablica!G12</f>
        <v>0</v>
      </c>
      <c r="C5">
        <f>Tablica!N18/Tablica!G18</f>
        <v>0</v>
      </c>
      <c r="D5">
        <f>Tablica!N24/Tablica!G24</f>
        <v>0</v>
      </c>
      <c r="F5">
        <f>Tablica!N36/Tablica!G36</f>
        <v>0</v>
      </c>
      <c r="G5">
        <f>Tablica!N42/Tablica!G42</f>
        <v>1.9083969465648854E-3</v>
      </c>
      <c r="H5">
        <f>Tablica!N48/Tablica!G48</f>
        <v>1.976284584980237E-3</v>
      </c>
    </row>
    <row r="6" spans="1:17" x14ac:dyDescent="0.25">
      <c r="A6">
        <f>Tablica!N7/Tablica!G7</f>
        <v>0</v>
      </c>
      <c r="C6">
        <f>Tablica!N19/Tablica!G19</f>
        <v>6.6666666666666671E-3</v>
      </c>
      <c r="D6">
        <f>Tablica!N25/Tablica!G25</f>
        <v>0</v>
      </c>
      <c r="E6">
        <f>Tablica!N31/Tablica!G31</f>
        <v>1.4198782961460446E-2</v>
      </c>
      <c r="F6">
        <f>Tablica!N37/Tablica!G37</f>
        <v>1.1655011655011656E-2</v>
      </c>
      <c r="G6">
        <f>Tablica!N43/Tablica!G43</f>
        <v>0</v>
      </c>
      <c r="H6">
        <f>Tablica!N49/Tablica!G49</f>
        <v>0</v>
      </c>
    </row>
    <row r="8" spans="1:17" x14ac:dyDescent="0.25">
      <c r="A8" t="s">
        <v>70</v>
      </c>
    </row>
    <row r="10" spans="1:17" ht="15.75" thickBot="1" x14ac:dyDescent="0.3">
      <c r="A10" t="s">
        <v>71</v>
      </c>
    </row>
    <row r="11" spans="1:17" x14ac:dyDescent="0.25">
      <c r="A11" s="18" t="s">
        <v>72</v>
      </c>
      <c r="B11" s="18" t="s">
        <v>73</v>
      </c>
      <c r="C11" s="18" t="s">
        <v>74</v>
      </c>
      <c r="D11" s="18" t="s">
        <v>75</v>
      </c>
      <c r="E11" s="18" t="s">
        <v>76</v>
      </c>
    </row>
    <row r="12" spans="1:17" x14ac:dyDescent="0.25">
      <c r="A12" t="s">
        <v>77</v>
      </c>
      <c r="B12">
        <v>5</v>
      </c>
      <c r="C12">
        <v>3.4784277506567031E-3</v>
      </c>
      <c r="D12">
        <v>6.9568555013134058E-4</v>
      </c>
      <c r="E12">
        <v>9.2056961699018578E-7</v>
      </c>
    </row>
    <row r="13" spans="1:17" x14ac:dyDescent="0.25">
      <c r="A13" t="s">
        <v>78</v>
      </c>
      <c r="B13">
        <v>4</v>
      </c>
      <c r="C13">
        <v>1.4016290000643873E-2</v>
      </c>
      <c r="D13">
        <v>3.5040725001609682E-3</v>
      </c>
      <c r="E13">
        <v>1.1629924903475246E-5</v>
      </c>
    </row>
    <row r="14" spans="1:17" x14ac:dyDescent="0.25">
      <c r="A14" t="s">
        <v>79</v>
      </c>
      <c r="B14">
        <v>5</v>
      </c>
      <c r="C14">
        <v>6.6666666666666671E-3</v>
      </c>
      <c r="D14">
        <v>1.3333333333333335E-3</v>
      </c>
      <c r="E14">
        <v>8.88888888888889E-6</v>
      </c>
    </row>
    <row r="15" spans="1:17" x14ac:dyDescent="0.25">
      <c r="A15" t="s">
        <v>80</v>
      </c>
      <c r="B15">
        <v>5</v>
      </c>
      <c r="C15">
        <v>4.2835131837173079E-3</v>
      </c>
      <c r="D15">
        <v>8.5670263674346154E-4</v>
      </c>
      <c r="E15">
        <v>1.5609770601594291E-6</v>
      </c>
    </row>
    <row r="16" spans="1:17" x14ac:dyDescent="0.25">
      <c r="A16" t="s">
        <v>81</v>
      </c>
      <c r="B16">
        <v>4</v>
      </c>
      <c r="C16">
        <v>2.0484233219570193E-2</v>
      </c>
      <c r="D16">
        <v>5.1210583048925482E-3</v>
      </c>
      <c r="E16">
        <v>4.0092889870451044E-5</v>
      </c>
    </row>
    <row r="17" spans="1:7" x14ac:dyDescent="0.25">
      <c r="A17" t="s">
        <v>82</v>
      </c>
      <c r="B17">
        <v>5</v>
      </c>
      <c r="C17">
        <v>1.9418264087241354E-2</v>
      </c>
      <c r="D17">
        <v>3.883652817448271E-3</v>
      </c>
      <c r="E17">
        <v>2.3395237377992289E-5</v>
      </c>
    </row>
    <row r="18" spans="1:7" x14ac:dyDescent="0.25">
      <c r="A18" t="s">
        <v>83</v>
      </c>
      <c r="B18">
        <v>5</v>
      </c>
      <c r="C18">
        <v>1.9083969465648854E-3</v>
      </c>
      <c r="D18">
        <v>3.816793893129771E-4</v>
      </c>
      <c r="E18">
        <v>7.2839578113163562E-7</v>
      </c>
    </row>
    <row r="19" spans="1:7" ht="15.75" thickBot="1" x14ac:dyDescent="0.3">
      <c r="A19" s="17" t="s">
        <v>84</v>
      </c>
      <c r="B19" s="17">
        <v>5</v>
      </c>
      <c r="C19" s="17">
        <v>2.9794455087231702E-2</v>
      </c>
      <c r="D19" s="17">
        <v>5.9588910174463404E-3</v>
      </c>
      <c r="E19" s="17">
        <v>3.1923589716133482E-5</v>
      </c>
    </row>
    <row r="22" spans="1:7" ht="15.75" thickBot="1" x14ac:dyDescent="0.3">
      <c r="A22" t="s">
        <v>85</v>
      </c>
    </row>
    <row r="23" spans="1:7" x14ac:dyDescent="0.25">
      <c r="A23" s="18" t="s">
        <v>86</v>
      </c>
      <c r="B23" s="18" t="s">
        <v>87</v>
      </c>
      <c r="C23" s="18" t="s">
        <v>88</v>
      </c>
      <c r="D23" s="18" t="s">
        <v>89</v>
      </c>
      <c r="E23" s="18" t="s">
        <v>90</v>
      </c>
      <c r="F23" s="18" t="s">
        <v>91</v>
      </c>
      <c r="G23" s="18" t="s">
        <v>92</v>
      </c>
    </row>
    <row r="24" spans="1:7" x14ac:dyDescent="0.25">
      <c r="A24" t="s">
        <v>93</v>
      </c>
      <c r="B24">
        <v>1.5925521067891742E-4</v>
      </c>
      <c r="C24">
        <v>7</v>
      </c>
      <c r="D24">
        <v>2.2750744382702488E-5</v>
      </c>
      <c r="E24">
        <v>1.6065431987905914</v>
      </c>
      <c r="F24">
        <v>0.17183538321093372</v>
      </c>
      <c r="G24">
        <v>2.334343964844781</v>
      </c>
    </row>
    <row r="25" spans="1:7" x14ac:dyDescent="0.25">
      <c r="A25" t="s">
        <v>94</v>
      </c>
      <c r="B25">
        <v>4.2483907808696256E-4</v>
      </c>
      <c r="C25">
        <v>30</v>
      </c>
      <c r="D25">
        <v>1.4161302602898751E-5</v>
      </c>
    </row>
    <row r="27" spans="1:7" ht="15.75" thickBot="1" x14ac:dyDescent="0.3">
      <c r="A27" s="17" t="s">
        <v>95</v>
      </c>
      <c r="B27" s="17">
        <v>5.8409428876587998E-4</v>
      </c>
      <c r="C27" s="17">
        <v>37</v>
      </c>
      <c r="D27" s="17"/>
      <c r="E27" s="17"/>
      <c r="F27" s="17"/>
      <c r="G27" s="17"/>
    </row>
    <row r="29" spans="1:7" x14ac:dyDescent="0.25">
      <c r="A29" t="s">
        <v>96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</row>
    <row r="30" spans="1:7" x14ac:dyDescent="0.25">
      <c r="A30" t="s">
        <v>27</v>
      </c>
      <c r="B30" t="s">
        <v>33</v>
      </c>
      <c r="C30">
        <v>-2.8080000000000002E-3</v>
      </c>
      <c r="D30">
        <v>0.948963</v>
      </c>
      <c r="E30">
        <v>-1.1022000000000001E-2</v>
      </c>
      <c r="F30">
        <v>5.4050000000000001E-3</v>
      </c>
    </row>
    <row r="31" spans="1:7" x14ac:dyDescent="0.25">
      <c r="A31" t="s">
        <v>27</v>
      </c>
      <c r="B31" t="s">
        <v>39</v>
      </c>
      <c r="C31">
        <v>-6.38E-4</v>
      </c>
      <c r="D31">
        <v>0.99999400000000005</v>
      </c>
      <c r="E31">
        <v>-8.3820000000000006E-3</v>
      </c>
      <c r="F31">
        <v>7.1060000000000003E-3</v>
      </c>
    </row>
    <row r="32" spans="1:7" x14ac:dyDescent="0.25">
      <c r="A32" t="s">
        <v>27</v>
      </c>
      <c r="B32" t="s">
        <v>45</v>
      </c>
      <c r="C32">
        <v>-1.6100000000000001E-4</v>
      </c>
      <c r="D32">
        <v>1</v>
      </c>
      <c r="E32">
        <v>-7.9050000000000006E-3</v>
      </c>
      <c r="F32">
        <v>7.5830000000000003E-3</v>
      </c>
    </row>
    <row r="33" spans="1:6" x14ac:dyDescent="0.25">
      <c r="A33" t="s">
        <v>27</v>
      </c>
      <c r="B33" t="s">
        <v>51</v>
      </c>
      <c r="C33">
        <v>-4.4250000000000001E-3</v>
      </c>
      <c r="D33">
        <v>0.65437000000000001</v>
      </c>
      <c r="E33">
        <v>-1.2638999999999999E-2</v>
      </c>
      <c r="F33">
        <v>3.7880000000000001E-3</v>
      </c>
    </row>
    <row r="34" spans="1:6" x14ac:dyDescent="0.25">
      <c r="A34" t="s">
        <v>27</v>
      </c>
      <c r="B34" t="s">
        <v>57</v>
      </c>
      <c r="C34">
        <v>-3.1879999999999999E-3</v>
      </c>
      <c r="D34">
        <v>0.87623399999999996</v>
      </c>
      <c r="E34">
        <v>-1.0932000000000001E-2</v>
      </c>
      <c r="F34">
        <v>4.5560000000000002E-3</v>
      </c>
    </row>
    <row r="35" spans="1:6" x14ac:dyDescent="0.25">
      <c r="A35" t="s">
        <v>27</v>
      </c>
      <c r="B35" t="s">
        <v>63</v>
      </c>
      <c r="C35">
        <v>3.1399999999999999E-4</v>
      </c>
      <c r="D35">
        <v>1</v>
      </c>
      <c r="E35">
        <v>-7.43E-3</v>
      </c>
      <c r="F35">
        <v>8.0579999999999992E-3</v>
      </c>
    </row>
    <row r="36" spans="1:6" x14ac:dyDescent="0.25">
      <c r="A36" s="19" t="s">
        <v>27</v>
      </c>
      <c r="B36" s="19" t="s">
        <v>69</v>
      </c>
      <c r="C36" s="19">
        <v>-5.2630000000000003E-3</v>
      </c>
      <c r="D36" s="19">
        <v>0.37351899999999999</v>
      </c>
      <c r="E36" s="19">
        <v>-1.3006999999999999E-2</v>
      </c>
      <c r="F36" s="19">
        <v>2.4810000000000001E-3</v>
      </c>
    </row>
    <row r="37" spans="1:6" x14ac:dyDescent="0.25">
      <c r="A37" t="s">
        <v>33</v>
      </c>
      <c r="B37" t="s">
        <v>39</v>
      </c>
      <c r="C37">
        <v>2.1710000000000002E-3</v>
      </c>
      <c r="D37">
        <v>0.98751500000000003</v>
      </c>
      <c r="E37">
        <v>-6.0429999999999998E-3</v>
      </c>
      <c r="F37">
        <v>1.0383999999999999E-2</v>
      </c>
    </row>
    <row r="38" spans="1:6" x14ac:dyDescent="0.25">
      <c r="A38" t="s">
        <v>33</v>
      </c>
      <c r="B38" t="s">
        <v>45</v>
      </c>
      <c r="C38">
        <v>2.647E-3</v>
      </c>
      <c r="D38">
        <v>0.96243500000000004</v>
      </c>
      <c r="E38">
        <v>-5.5659999999999998E-3</v>
      </c>
      <c r="F38">
        <v>1.0861000000000001E-2</v>
      </c>
    </row>
    <row r="39" spans="1:6" x14ac:dyDescent="0.25">
      <c r="A39" t="s">
        <v>33</v>
      </c>
      <c r="B39" t="s">
        <v>51</v>
      </c>
      <c r="C39">
        <v>-1.6169999999999999E-3</v>
      </c>
      <c r="D39">
        <v>0.998502</v>
      </c>
      <c r="E39">
        <v>-1.0274999999999999E-2</v>
      </c>
      <c r="F39">
        <v>7.0410000000000004E-3</v>
      </c>
    </row>
    <row r="40" spans="1:6" x14ac:dyDescent="0.25">
      <c r="A40" t="s">
        <v>33</v>
      </c>
      <c r="B40" t="s">
        <v>57</v>
      </c>
      <c r="C40">
        <v>-3.8000000000000002E-4</v>
      </c>
      <c r="D40">
        <v>1</v>
      </c>
      <c r="E40">
        <v>-8.5929999999999999E-3</v>
      </c>
      <c r="F40">
        <v>7.8340000000000007E-3</v>
      </c>
    </row>
    <row r="41" spans="1:6" x14ac:dyDescent="0.25">
      <c r="A41" t="s">
        <v>33</v>
      </c>
      <c r="B41" t="s">
        <v>63</v>
      </c>
      <c r="C41">
        <v>3.1220000000000002E-3</v>
      </c>
      <c r="D41">
        <v>0.91404799999999997</v>
      </c>
      <c r="E41">
        <v>-5.091E-3</v>
      </c>
      <c r="F41">
        <v>1.1336000000000001E-2</v>
      </c>
    </row>
    <row r="42" spans="1:6" x14ac:dyDescent="0.25">
      <c r="A42" s="19" t="s">
        <v>33</v>
      </c>
      <c r="B42" s="19" t="s">
        <v>69</v>
      </c>
      <c r="C42" s="19">
        <v>-2.4550000000000002E-3</v>
      </c>
      <c r="D42" s="19">
        <v>0.97499400000000003</v>
      </c>
      <c r="E42" s="19">
        <v>-1.0668E-2</v>
      </c>
      <c r="F42" s="19">
        <v>5.7590000000000002E-3</v>
      </c>
    </row>
    <row r="43" spans="1:6" x14ac:dyDescent="0.25">
      <c r="A43" t="s">
        <v>39</v>
      </c>
      <c r="B43" t="s">
        <v>45</v>
      </c>
      <c r="C43">
        <v>4.7699999999999999E-4</v>
      </c>
      <c r="D43">
        <v>0.99999899999999997</v>
      </c>
      <c r="E43">
        <v>-7.267E-3</v>
      </c>
      <c r="F43">
        <v>8.2199999999999999E-3</v>
      </c>
    </row>
    <row r="44" spans="1:6" x14ac:dyDescent="0.25">
      <c r="A44" t="s">
        <v>39</v>
      </c>
      <c r="B44" t="s">
        <v>51</v>
      </c>
      <c r="C44">
        <v>-3.7880000000000001E-3</v>
      </c>
      <c r="D44">
        <v>0.80117700000000003</v>
      </c>
      <c r="E44">
        <v>-1.2001E-2</v>
      </c>
      <c r="F44">
        <v>4.4260000000000002E-3</v>
      </c>
    </row>
    <row r="45" spans="1:6" x14ac:dyDescent="0.25">
      <c r="A45" t="s">
        <v>39</v>
      </c>
      <c r="B45" t="s">
        <v>57</v>
      </c>
      <c r="C45">
        <v>-2.5500000000000002E-3</v>
      </c>
      <c r="D45">
        <v>0.95793799999999996</v>
      </c>
      <c r="E45">
        <v>-1.0293999999999999E-2</v>
      </c>
      <c r="F45">
        <v>5.1939999999999998E-3</v>
      </c>
    </row>
    <row r="46" spans="1:6" x14ac:dyDescent="0.25">
      <c r="A46" t="s">
        <v>39</v>
      </c>
      <c r="B46" t="s">
        <v>45</v>
      </c>
      <c r="C46">
        <v>9.5200000000000005E-4</v>
      </c>
      <c r="D46">
        <v>0.99990400000000002</v>
      </c>
      <c r="E46">
        <v>-6.7920000000000003E-3</v>
      </c>
      <c r="F46">
        <v>8.6960000000000006E-3</v>
      </c>
    </row>
    <row r="47" spans="1:6" x14ac:dyDescent="0.25">
      <c r="A47" s="19" t="s">
        <v>39</v>
      </c>
      <c r="B47" s="19" t="s">
        <v>69</v>
      </c>
      <c r="C47" s="19">
        <v>-4.6259999999999999E-3</v>
      </c>
      <c r="D47" s="19">
        <v>0.53384399999999999</v>
      </c>
      <c r="E47" s="19">
        <v>-1.2369E-2</v>
      </c>
      <c r="F47" s="19">
        <v>3.1180000000000001E-3</v>
      </c>
    </row>
    <row r="48" spans="1:6" x14ac:dyDescent="0.25">
      <c r="A48" t="s">
        <v>45</v>
      </c>
      <c r="B48" t="s">
        <v>51</v>
      </c>
      <c r="C48">
        <v>-4.2640000000000004E-3</v>
      </c>
      <c r="D48">
        <v>0.69373399999999996</v>
      </c>
      <c r="E48">
        <v>-1.2478E-2</v>
      </c>
      <c r="F48">
        <v>3.9490000000000003E-3</v>
      </c>
    </row>
    <row r="49" spans="1:6" x14ac:dyDescent="0.25">
      <c r="A49" t="s">
        <v>45</v>
      </c>
      <c r="B49" t="s">
        <v>57</v>
      </c>
      <c r="C49">
        <v>-3.0270000000000002E-3</v>
      </c>
      <c r="D49">
        <v>0.90209300000000003</v>
      </c>
      <c r="E49">
        <v>-1.0770999999999999E-2</v>
      </c>
      <c r="F49">
        <v>4.7169999999999998E-3</v>
      </c>
    </row>
    <row r="50" spans="1:6" x14ac:dyDescent="0.25">
      <c r="A50" t="s">
        <v>45</v>
      </c>
      <c r="B50" t="s">
        <v>63</v>
      </c>
      <c r="C50">
        <v>4.75E-4</v>
      </c>
      <c r="D50">
        <v>0.99999899999999997</v>
      </c>
      <c r="E50">
        <v>-7.2690000000000003E-3</v>
      </c>
      <c r="F50">
        <v>8.2190000000000006E-3</v>
      </c>
    </row>
    <row r="51" spans="1:6" x14ac:dyDescent="0.25">
      <c r="A51" s="19" t="s">
        <v>45</v>
      </c>
      <c r="B51" s="19" t="s">
        <v>69</v>
      </c>
      <c r="C51" s="19">
        <v>-5.1019999999999998E-3</v>
      </c>
      <c r="D51" s="19">
        <v>0.41182800000000003</v>
      </c>
      <c r="E51" s="19">
        <v>-1.2846E-2</v>
      </c>
      <c r="F51" s="19">
        <v>2.6419999999999998E-3</v>
      </c>
    </row>
    <row r="52" spans="1:6" x14ac:dyDescent="0.25">
      <c r="A52" t="s">
        <v>51</v>
      </c>
      <c r="B52" t="s">
        <v>57</v>
      </c>
      <c r="C52">
        <v>1.237E-3</v>
      </c>
      <c r="D52">
        <v>0.99962799999999996</v>
      </c>
      <c r="E52">
        <v>-6.9760000000000004E-3</v>
      </c>
      <c r="F52">
        <v>9.4509999999999993E-3</v>
      </c>
    </row>
    <row r="53" spans="1:6" x14ac:dyDescent="0.25">
      <c r="A53" t="s">
        <v>51</v>
      </c>
      <c r="B53" t="s">
        <v>63</v>
      </c>
      <c r="C53">
        <v>4.7390000000000002E-3</v>
      </c>
      <c r="D53">
        <v>0.57571399999999995</v>
      </c>
      <c r="E53">
        <v>-3.4740000000000001E-3</v>
      </c>
      <c r="F53">
        <v>1.2952999999999999E-2</v>
      </c>
    </row>
    <row r="54" spans="1:6" x14ac:dyDescent="0.25">
      <c r="A54" s="19" t="s">
        <v>51</v>
      </c>
      <c r="B54" s="19" t="s">
        <v>69</v>
      </c>
      <c r="C54" s="19">
        <v>-8.3799999999999999E-4</v>
      </c>
      <c r="D54" s="19">
        <v>0.999973</v>
      </c>
      <c r="E54" s="19">
        <v>-9.051E-3</v>
      </c>
      <c r="F54" s="19">
        <v>7.3759999999999997E-3</v>
      </c>
    </row>
    <row r="55" spans="1:6" x14ac:dyDescent="0.25">
      <c r="A55" t="s">
        <v>57</v>
      </c>
      <c r="B55" t="s">
        <v>63</v>
      </c>
      <c r="C55">
        <v>3.5019999999999999E-3</v>
      </c>
      <c r="D55">
        <v>0.81602399999999997</v>
      </c>
      <c r="E55">
        <v>-4.2420000000000001E-3</v>
      </c>
      <c r="F55">
        <v>1.1246000000000001E-2</v>
      </c>
    </row>
    <row r="56" spans="1:6" x14ac:dyDescent="0.25">
      <c r="A56" s="19" t="s">
        <v>57</v>
      </c>
      <c r="B56" s="19" t="s">
        <v>69</v>
      </c>
      <c r="C56" s="19">
        <v>-2.075E-3</v>
      </c>
      <c r="D56" s="19">
        <v>0.98647099999999999</v>
      </c>
      <c r="E56" s="19">
        <v>-9.8189999999999996E-3</v>
      </c>
      <c r="F56" s="19">
        <v>5.6690000000000004E-3</v>
      </c>
    </row>
    <row r="57" spans="1:6" x14ac:dyDescent="0.25">
      <c r="A57" t="s">
        <v>63</v>
      </c>
      <c r="B57" t="s">
        <v>69</v>
      </c>
      <c r="C57">
        <v>-5.5770000000000004E-3</v>
      </c>
      <c r="D57">
        <v>0.30458000000000002</v>
      </c>
      <c r="E57">
        <v>-1.3321E-2</v>
      </c>
      <c r="F57">
        <v>2.1670000000000001E-3</v>
      </c>
    </row>
  </sheetData>
  <conditionalFormatting sqref="D30:D57">
    <cfRule type="cellIs" dxfId="3" priority="1" operator="between">
      <formula>0.49</formula>
      <formula>0.51</formula>
    </cfRule>
    <cfRule type="cellIs" dxfId="2" priority="2" operator="lessThan">
      <formula>0.05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167D-0B31-48D0-BEF8-A5338CA6740C}">
  <dimension ref="A1:Q57"/>
  <sheetViews>
    <sheetView workbookViewId="0">
      <selection activeCell="A9" sqref="A9"/>
    </sheetView>
  </sheetViews>
  <sheetFormatPr defaultRowHeight="15" x14ac:dyDescent="0.25"/>
  <sheetData>
    <row r="1" spans="1:17" x14ac:dyDescent="0.25">
      <c r="A1" t="s">
        <v>27</v>
      </c>
      <c r="B1" t="s">
        <v>33</v>
      </c>
      <c r="C1" t="s">
        <v>39</v>
      </c>
      <c r="D1" t="s">
        <v>45</v>
      </c>
      <c r="E1" t="s">
        <v>51</v>
      </c>
      <c r="F1" t="s">
        <v>57</v>
      </c>
      <c r="G1" t="s">
        <v>63</v>
      </c>
      <c r="H1" t="s">
        <v>69</v>
      </c>
      <c r="J1" t="s">
        <v>27</v>
      </c>
      <c r="K1" t="s">
        <v>33</v>
      </c>
      <c r="L1" t="s">
        <v>39</v>
      </c>
      <c r="M1" t="s">
        <v>45</v>
      </c>
      <c r="N1" t="s">
        <v>51</v>
      </c>
      <c r="O1" t="s">
        <v>57</v>
      </c>
      <c r="P1" t="s">
        <v>63</v>
      </c>
      <c r="Q1" t="s">
        <v>69</v>
      </c>
    </row>
    <row r="2" spans="1:17" x14ac:dyDescent="0.25">
      <c r="A2">
        <f>Tablica!R3/Tablica!G3</f>
        <v>7.1047957371225573E-2</v>
      </c>
      <c r="B2">
        <f>Tablica!R9/Tablica!G9</f>
        <v>9.4E-2</v>
      </c>
      <c r="C2">
        <f>Tablica!R15/Tablica!G15</f>
        <v>0.14039408866995073</v>
      </c>
      <c r="D2">
        <f>Tablica!R21/Tablica!G21</f>
        <v>0.34153005464480873</v>
      </c>
      <c r="E2">
        <f>Tablica!R27/Tablica!G27</f>
        <v>0.23943661971830985</v>
      </c>
      <c r="F2">
        <f>Tablica!R33/Tablica!G33</f>
        <v>3.4071550255536626E-2</v>
      </c>
      <c r="G2">
        <f>Tablica!R39/Tablica!G39</f>
        <v>0.29330708661417321</v>
      </c>
      <c r="H2">
        <f>Tablica!R45/Tablica!G45</f>
        <v>0.15594541910331383</v>
      </c>
      <c r="J2">
        <f>_xlfn.STDEV.S(A2:A6)*100</f>
        <v>1.2498049609728115</v>
      </c>
      <c r="K2">
        <f t="shared" ref="K2:Q2" si="0">_xlfn.STDEV.S(B2:B6)*100</f>
        <v>4.4455744248798856</v>
      </c>
      <c r="L2">
        <f t="shared" si="0"/>
        <v>8.8154766502454773</v>
      </c>
      <c r="M2">
        <f t="shared" si="0"/>
        <v>17.463458272590213</v>
      </c>
      <c r="N2">
        <f t="shared" si="0"/>
        <v>8.6463074271035634</v>
      </c>
      <c r="O2">
        <f t="shared" si="0"/>
        <v>5.8380504085953282</v>
      </c>
      <c r="P2">
        <f t="shared" si="0"/>
        <v>8.3970609760234058</v>
      </c>
      <c r="Q2">
        <f t="shared" si="0"/>
        <v>9.6103215425399426</v>
      </c>
    </row>
    <row r="3" spans="1:17" x14ac:dyDescent="0.25">
      <c r="A3">
        <f>Tablica!R4/Tablica!G4</f>
        <v>7.2555205047318619E-2</v>
      </c>
      <c r="B3">
        <f>Tablica!R10/Tablica!G10</f>
        <v>5.3892215568862277E-2</v>
      </c>
      <c r="C3">
        <f>Tablica!R16/Tablica!G16</f>
        <v>0</v>
      </c>
      <c r="D3">
        <f>Tablica!R22/Tablica!G22</f>
        <v>0.19890009165902842</v>
      </c>
      <c r="E3">
        <f>Tablica!R28/Tablica!G28</f>
        <v>3.1674208144796379E-2</v>
      </c>
      <c r="F3">
        <f>Tablica!R34/Tablica!G34</f>
        <v>0.16710875331564987</v>
      </c>
      <c r="G3">
        <f>Tablica!R40/Tablica!G40</f>
        <v>0.12543554006968641</v>
      </c>
      <c r="H3">
        <f>Tablica!R46/Tablica!G46</f>
        <v>0</v>
      </c>
    </row>
    <row r="4" spans="1:17" x14ac:dyDescent="0.25">
      <c r="A4">
        <f>Tablica!R5/Tablica!G5</f>
        <v>6.8441064638783272E-2</v>
      </c>
      <c r="B4">
        <f>Tablica!R11/Tablica!G11</f>
        <v>0.16129032258064516</v>
      </c>
      <c r="C4">
        <f>Tablica!R17/Tablica!G17</f>
        <v>1.5779092702169626E-2</v>
      </c>
      <c r="D4">
        <f>Tablica!R23/Tablica!G23</f>
        <v>0.18404907975460122</v>
      </c>
      <c r="E4">
        <f>Tablica!R29/Tablica!G29</f>
        <v>0.10181818181818182</v>
      </c>
      <c r="F4">
        <f>Tablica!R35/Tablica!G35</f>
        <v>8.9403973509933773E-2</v>
      </c>
      <c r="G4">
        <f>Tablica!R41/Tablica!G41</f>
        <v>0.13600000000000001</v>
      </c>
      <c r="H4">
        <f>Tablica!R47/Tablica!G47</f>
        <v>0.18860510805500982</v>
      </c>
    </row>
    <row r="5" spans="1:17" x14ac:dyDescent="0.25">
      <c r="A5">
        <f>Tablica!R6/Tablica!G6</f>
        <v>5.7866184448462928E-2</v>
      </c>
      <c r="B5">
        <f>Tablica!R12/Tablica!G12</f>
        <v>0.11023622047244094</v>
      </c>
      <c r="C5">
        <f>Tablica!R18/Tablica!G18</f>
        <v>0.13655462184873948</v>
      </c>
      <c r="D5">
        <f>Tablica!R24/Tablica!G24</f>
        <v>1.1695906432748537E-2</v>
      </c>
      <c r="F5">
        <f>Tablica!R36/Tablica!G36</f>
        <v>8.6238532110091748E-2</v>
      </c>
      <c r="G5">
        <f>Tablica!R42/Tablica!G42</f>
        <v>0.25572519083969464</v>
      </c>
      <c r="H5">
        <f>Tablica!R48/Tablica!G48</f>
        <v>0.17786561264822134</v>
      </c>
    </row>
    <row r="6" spans="1:17" x14ac:dyDescent="0.25">
      <c r="A6">
        <f>Tablica!R7/Tablica!G7</f>
        <v>4.2654028436018961E-2</v>
      </c>
      <c r="C6">
        <f>Tablica!R19/Tablica!G19</f>
        <v>0.20499999999999999</v>
      </c>
      <c r="D6">
        <f>Tablica!R25/Tablica!G25</f>
        <v>0.47400611620795108</v>
      </c>
      <c r="E6">
        <f>Tablica!R31/Tablica!G31</f>
        <v>0.11359026369168357</v>
      </c>
      <c r="F6">
        <f>Tablica!R37/Tablica!G37</f>
        <v>0.17016317016317017</v>
      </c>
      <c r="G6">
        <f>Tablica!R43/Tablica!G43</f>
        <v>0.11066398390342053</v>
      </c>
      <c r="H6">
        <f>Tablica!R49/Tablica!G49</f>
        <v>0</v>
      </c>
    </row>
    <row r="8" spans="1:17" x14ac:dyDescent="0.25">
      <c r="A8" t="s">
        <v>70</v>
      </c>
    </row>
    <row r="10" spans="1:17" ht="15.75" thickBot="1" x14ac:dyDescent="0.3">
      <c r="A10" t="s">
        <v>71</v>
      </c>
    </row>
    <row r="11" spans="1:17" x14ac:dyDescent="0.25">
      <c r="A11" s="18" t="s">
        <v>72</v>
      </c>
      <c r="B11" s="18" t="s">
        <v>73</v>
      </c>
      <c r="C11" s="18" t="s">
        <v>74</v>
      </c>
      <c r="D11" s="18" t="s">
        <v>75</v>
      </c>
      <c r="E11" s="18" t="s">
        <v>76</v>
      </c>
    </row>
    <row r="12" spans="1:17" x14ac:dyDescent="0.25">
      <c r="A12" t="s">
        <v>77</v>
      </c>
      <c r="B12">
        <v>5</v>
      </c>
      <c r="C12">
        <v>0.31256443994180938</v>
      </c>
      <c r="D12">
        <v>6.2512887988361882E-2</v>
      </c>
      <c r="E12">
        <v>1.5620124404722505E-4</v>
      </c>
    </row>
    <row r="13" spans="1:17" x14ac:dyDescent="0.25">
      <c r="A13" t="s">
        <v>78</v>
      </c>
      <c r="B13">
        <v>4</v>
      </c>
      <c r="C13">
        <v>0.41941875862194844</v>
      </c>
      <c r="D13">
        <v>0.10485468965548711</v>
      </c>
      <c r="E13">
        <v>1.9763131967146124E-3</v>
      </c>
    </row>
    <row r="14" spans="1:17" x14ac:dyDescent="0.25">
      <c r="A14" t="s">
        <v>79</v>
      </c>
      <c r="B14">
        <v>5</v>
      </c>
      <c r="C14">
        <v>0.49772780322085985</v>
      </c>
      <c r="D14">
        <v>9.9545560644171971E-2</v>
      </c>
      <c r="E14">
        <v>7.7712628571023207E-3</v>
      </c>
    </row>
    <row r="15" spans="1:17" x14ac:dyDescent="0.25">
      <c r="A15" t="s">
        <v>80</v>
      </c>
      <c r="B15">
        <v>5</v>
      </c>
      <c r="C15">
        <v>1.2101812486991379</v>
      </c>
      <c r="D15">
        <v>0.24203624973982757</v>
      </c>
      <c r="E15">
        <v>3.0497237483849957E-2</v>
      </c>
    </row>
    <row r="16" spans="1:17" x14ac:dyDescent="0.25">
      <c r="A16" t="s">
        <v>81</v>
      </c>
      <c r="B16">
        <v>4</v>
      </c>
      <c r="C16">
        <v>0.48651927337297163</v>
      </c>
      <c r="D16">
        <v>0.12162981834324291</v>
      </c>
      <c r="E16">
        <v>7.4758632123986257E-3</v>
      </c>
    </row>
    <row r="17" spans="1:7" x14ac:dyDescent="0.25">
      <c r="A17" t="s">
        <v>82</v>
      </c>
      <c r="B17">
        <v>5</v>
      </c>
      <c r="C17">
        <v>0.5469859793543822</v>
      </c>
      <c r="D17">
        <v>0.10939719587087644</v>
      </c>
      <c r="E17">
        <v>3.4082832573300078E-3</v>
      </c>
    </row>
    <row r="18" spans="1:7" x14ac:dyDescent="0.25">
      <c r="A18" t="s">
        <v>83</v>
      </c>
      <c r="B18">
        <v>5</v>
      </c>
      <c r="C18">
        <v>0.92113180142697471</v>
      </c>
      <c r="D18">
        <v>0.18422636028539494</v>
      </c>
      <c r="E18">
        <v>7.0510633035055156E-3</v>
      </c>
    </row>
    <row r="19" spans="1:7" ht="15.75" thickBot="1" x14ac:dyDescent="0.3">
      <c r="A19" s="17" t="s">
        <v>84</v>
      </c>
      <c r="B19" s="17">
        <v>5</v>
      </c>
      <c r="C19" s="17">
        <v>0.522416139806545</v>
      </c>
      <c r="D19" s="17">
        <v>0.104483227961309</v>
      </c>
      <c r="E19" s="17">
        <v>9.2358280151007312E-3</v>
      </c>
    </row>
    <row r="22" spans="1:7" ht="15.75" thickBot="1" x14ac:dyDescent="0.3">
      <c r="A22" t="s">
        <v>85</v>
      </c>
    </row>
    <row r="23" spans="1:7" x14ac:dyDescent="0.25">
      <c r="A23" s="18" t="s">
        <v>86</v>
      </c>
      <c r="B23" s="18" t="s">
        <v>87</v>
      </c>
      <c r="C23" s="18" t="s">
        <v>88</v>
      </c>
      <c r="D23" s="18" t="s">
        <v>89</v>
      </c>
      <c r="E23" s="18" t="s">
        <v>90</v>
      </c>
      <c r="F23" s="18" t="s">
        <v>91</v>
      </c>
      <c r="G23" s="18" t="s">
        <v>92</v>
      </c>
    </row>
    <row r="24" spans="1:7" x14ac:dyDescent="0.25">
      <c r="A24" t="s">
        <v>93</v>
      </c>
      <c r="B24">
        <v>0.11304631793613124</v>
      </c>
      <c r="C24">
        <v>7</v>
      </c>
      <c r="D24">
        <v>1.6149473990875889E-2</v>
      </c>
      <c r="E24">
        <v>1.8574282568862068</v>
      </c>
      <c r="F24">
        <v>0.11253283957436662</v>
      </c>
      <c r="G24">
        <v>2.334343964844781</v>
      </c>
    </row>
    <row r="25" spans="1:7" x14ac:dyDescent="0.25">
      <c r="A25" t="s">
        <v>94</v>
      </c>
      <c r="B25">
        <v>0.26083603387108267</v>
      </c>
      <c r="C25">
        <v>30</v>
      </c>
      <c r="D25">
        <v>8.6945344623694226E-3</v>
      </c>
    </row>
    <row r="27" spans="1:7" ht="15.75" thickBot="1" x14ac:dyDescent="0.3">
      <c r="A27" s="17" t="s">
        <v>95</v>
      </c>
      <c r="B27" s="17">
        <v>0.37388235180721391</v>
      </c>
      <c r="C27" s="17">
        <v>37</v>
      </c>
      <c r="D27" s="17"/>
      <c r="E27" s="17"/>
      <c r="F27" s="17"/>
      <c r="G27" s="17"/>
    </row>
    <row r="29" spans="1:7" x14ac:dyDescent="0.25">
      <c r="A29" t="s">
        <v>96</v>
      </c>
      <c r="B29" t="s">
        <v>97</v>
      </c>
      <c r="C29" t="s">
        <v>98</v>
      </c>
      <c r="D29" t="s">
        <v>99</v>
      </c>
      <c r="E29" t="s">
        <v>100</v>
      </c>
      <c r="F29" t="s">
        <v>101</v>
      </c>
    </row>
    <row r="30" spans="1:7" x14ac:dyDescent="0.25">
      <c r="A30" t="s">
        <v>27</v>
      </c>
      <c r="B30" t="s">
        <v>33</v>
      </c>
      <c r="C30">
        <v>-4.2341999999999998E-2</v>
      </c>
      <c r="D30">
        <v>0.99704499999999996</v>
      </c>
      <c r="E30">
        <v>-0.245861</v>
      </c>
      <c r="F30">
        <v>0.16117799999999999</v>
      </c>
    </row>
    <row r="31" spans="1:7" x14ac:dyDescent="0.25">
      <c r="A31" t="s">
        <v>27</v>
      </c>
      <c r="B31" t="s">
        <v>39</v>
      </c>
      <c r="C31">
        <v>-3.7033000000000003E-2</v>
      </c>
      <c r="D31">
        <v>0.99815500000000001</v>
      </c>
      <c r="E31">
        <v>-0.22891300000000001</v>
      </c>
      <c r="F31">
        <v>0.15484700000000001</v>
      </c>
    </row>
    <row r="32" spans="1:7" x14ac:dyDescent="0.25">
      <c r="A32" t="s">
        <v>27</v>
      </c>
      <c r="B32" t="s">
        <v>45</v>
      </c>
      <c r="C32">
        <v>-0.17952299999999999</v>
      </c>
      <c r="D32">
        <v>7.9779000000000003E-2</v>
      </c>
      <c r="E32">
        <v>-0.37140299999999998</v>
      </c>
      <c r="F32">
        <v>1.2357E-2</v>
      </c>
    </row>
    <row r="33" spans="1:6" x14ac:dyDescent="0.25">
      <c r="A33" t="s">
        <v>27</v>
      </c>
      <c r="B33" t="s">
        <v>51</v>
      </c>
      <c r="C33">
        <v>-5.9117000000000003E-2</v>
      </c>
      <c r="D33">
        <v>0.97864200000000001</v>
      </c>
      <c r="E33">
        <v>-0.26263599999999998</v>
      </c>
      <c r="F33">
        <v>0.144402</v>
      </c>
    </row>
    <row r="34" spans="1:6" x14ac:dyDescent="0.25">
      <c r="A34" t="s">
        <v>27</v>
      </c>
      <c r="B34" t="s">
        <v>57</v>
      </c>
      <c r="C34">
        <v>-4.6884000000000002E-2</v>
      </c>
      <c r="D34">
        <v>0.99212500000000003</v>
      </c>
      <c r="E34">
        <v>-0.238764</v>
      </c>
      <c r="F34">
        <v>0.14499600000000001</v>
      </c>
    </row>
    <row r="35" spans="1:6" x14ac:dyDescent="0.25">
      <c r="A35" t="s">
        <v>27</v>
      </c>
      <c r="B35" t="s">
        <v>63</v>
      </c>
      <c r="C35">
        <v>-0.121713</v>
      </c>
      <c r="D35">
        <v>0.45920499999999997</v>
      </c>
      <c r="E35">
        <v>-0.31359300000000001</v>
      </c>
      <c r="F35">
        <v>7.0166000000000006E-2</v>
      </c>
    </row>
    <row r="36" spans="1:6" x14ac:dyDescent="0.25">
      <c r="A36" s="19" t="s">
        <v>27</v>
      </c>
      <c r="B36" s="19" t="s">
        <v>69</v>
      </c>
      <c r="C36" s="19">
        <v>-4.197E-2</v>
      </c>
      <c r="D36" s="19">
        <v>0.99597100000000005</v>
      </c>
      <c r="E36" s="19">
        <v>-0.23385</v>
      </c>
      <c r="F36" s="19">
        <v>0.14990999999999999</v>
      </c>
    </row>
    <row r="37" spans="1:6" x14ac:dyDescent="0.25">
      <c r="A37" t="s">
        <v>33</v>
      </c>
      <c r="B37" t="s">
        <v>39</v>
      </c>
      <c r="C37">
        <v>5.3090000000000004E-3</v>
      </c>
      <c r="D37">
        <v>1</v>
      </c>
      <c r="E37">
        <v>-0.19821</v>
      </c>
      <c r="F37">
        <v>0.20882899999999999</v>
      </c>
    </row>
    <row r="38" spans="1:6" x14ac:dyDescent="0.25">
      <c r="A38" t="s">
        <v>33</v>
      </c>
      <c r="B38" t="s">
        <v>45</v>
      </c>
      <c r="C38">
        <v>-0.137182</v>
      </c>
      <c r="D38">
        <v>0.38368099999999999</v>
      </c>
      <c r="E38">
        <v>-0.34070099999999998</v>
      </c>
      <c r="F38">
        <v>6.6337999999999994E-2</v>
      </c>
    </row>
    <row r="39" spans="1:6" x14ac:dyDescent="0.25">
      <c r="A39" t="s">
        <v>33</v>
      </c>
      <c r="B39" t="s">
        <v>51</v>
      </c>
      <c r="C39">
        <v>-1.6775000000000002E-2</v>
      </c>
      <c r="D39">
        <v>0.999996</v>
      </c>
      <c r="E39">
        <v>-0.23130300000000001</v>
      </c>
      <c r="F39">
        <v>0.19775300000000001</v>
      </c>
    </row>
    <row r="40" spans="1:6" x14ac:dyDescent="0.25">
      <c r="A40" t="s">
        <v>33</v>
      </c>
      <c r="B40" t="s">
        <v>57</v>
      </c>
      <c r="C40">
        <v>-4.5430000000000002E-3</v>
      </c>
      <c r="D40">
        <v>1</v>
      </c>
      <c r="E40">
        <v>-0.208062</v>
      </c>
      <c r="F40">
        <v>0.19897699999999999</v>
      </c>
    </row>
    <row r="41" spans="1:6" x14ac:dyDescent="0.25">
      <c r="A41" t="s">
        <v>33</v>
      </c>
      <c r="B41" t="s">
        <v>63</v>
      </c>
      <c r="C41">
        <v>-7.9371999999999998E-2</v>
      </c>
      <c r="D41">
        <v>0.90311799999999998</v>
      </c>
      <c r="E41">
        <v>-0.282891</v>
      </c>
      <c r="F41">
        <v>0.12414799999999999</v>
      </c>
    </row>
    <row r="42" spans="1:6" x14ac:dyDescent="0.25">
      <c r="A42" s="19" t="s">
        <v>33</v>
      </c>
      <c r="B42" s="19" t="s">
        <v>69</v>
      </c>
      <c r="C42" s="19">
        <v>3.7100000000000002E-4</v>
      </c>
      <c r="D42" s="19">
        <v>1</v>
      </c>
      <c r="E42" s="19">
        <v>-0.203148</v>
      </c>
      <c r="F42" s="19">
        <v>0.20389099999999999</v>
      </c>
    </row>
    <row r="43" spans="1:6" x14ac:dyDescent="0.25">
      <c r="A43" t="s">
        <v>39</v>
      </c>
      <c r="B43" t="s">
        <v>45</v>
      </c>
      <c r="C43">
        <v>-0.14249100000000001</v>
      </c>
      <c r="D43">
        <v>0.27012399999999998</v>
      </c>
      <c r="E43">
        <v>-0.33437099999999997</v>
      </c>
      <c r="F43">
        <v>4.9389000000000002E-2</v>
      </c>
    </row>
    <row r="44" spans="1:6" x14ac:dyDescent="0.25">
      <c r="A44" t="s">
        <v>39</v>
      </c>
      <c r="B44" t="s">
        <v>51</v>
      </c>
      <c r="C44">
        <v>-2.2083999999999999E-2</v>
      </c>
      <c r="D44">
        <v>0.99995900000000004</v>
      </c>
      <c r="E44">
        <v>-0.225604</v>
      </c>
      <c r="F44">
        <v>0.18143500000000001</v>
      </c>
    </row>
    <row r="45" spans="1:6" x14ac:dyDescent="0.25">
      <c r="A45" t="s">
        <v>39</v>
      </c>
      <c r="B45" t="s">
        <v>57</v>
      </c>
      <c r="C45">
        <v>-9.8519999999999996E-3</v>
      </c>
      <c r="D45">
        <v>1</v>
      </c>
      <c r="E45">
        <v>-0.20173199999999999</v>
      </c>
      <c r="F45">
        <v>0.182028</v>
      </c>
    </row>
    <row r="46" spans="1:6" x14ac:dyDescent="0.25">
      <c r="A46" t="s">
        <v>39</v>
      </c>
      <c r="B46" t="s">
        <v>45</v>
      </c>
      <c r="C46">
        <v>-8.4681000000000006E-2</v>
      </c>
      <c r="D46">
        <v>0.83341699999999996</v>
      </c>
      <c r="E46">
        <v>-0.276561</v>
      </c>
      <c r="F46">
        <v>0.107199</v>
      </c>
    </row>
    <row r="47" spans="1:6" x14ac:dyDescent="0.25">
      <c r="A47" s="19" t="s">
        <v>39</v>
      </c>
      <c r="B47" s="19" t="s">
        <v>69</v>
      </c>
      <c r="C47" s="19">
        <v>-4.9379999999999997E-3</v>
      </c>
      <c r="D47" s="19">
        <v>1</v>
      </c>
      <c r="E47" s="19">
        <v>-0.19681799999999999</v>
      </c>
      <c r="F47" s="19">
        <v>0.186942</v>
      </c>
    </row>
    <row r="48" spans="1:6" x14ac:dyDescent="0.25">
      <c r="A48" t="s">
        <v>45</v>
      </c>
      <c r="B48" t="s">
        <v>51</v>
      </c>
      <c r="C48">
        <v>0.120406</v>
      </c>
      <c r="D48">
        <v>0.54555799999999999</v>
      </c>
      <c r="E48">
        <v>-8.3113000000000006E-2</v>
      </c>
      <c r="F48">
        <v>0.32392599999999999</v>
      </c>
    </row>
    <row r="49" spans="1:6" x14ac:dyDescent="0.25">
      <c r="A49" t="s">
        <v>45</v>
      </c>
      <c r="B49" t="s">
        <v>57</v>
      </c>
      <c r="C49">
        <v>0.13263900000000001</v>
      </c>
      <c r="D49">
        <v>0.35298000000000002</v>
      </c>
      <c r="E49">
        <v>-5.9241000000000002E-2</v>
      </c>
      <c r="F49">
        <v>0.324519</v>
      </c>
    </row>
    <row r="50" spans="1:6" x14ac:dyDescent="0.25">
      <c r="A50" t="s">
        <v>45</v>
      </c>
      <c r="B50" t="s">
        <v>63</v>
      </c>
      <c r="C50">
        <v>5.781E-2</v>
      </c>
      <c r="D50">
        <v>0.97386899999999998</v>
      </c>
      <c r="E50">
        <v>-0.13406999999999999</v>
      </c>
      <c r="F50">
        <v>0.24969</v>
      </c>
    </row>
    <row r="51" spans="1:6" x14ac:dyDescent="0.25">
      <c r="A51" s="19" t="s">
        <v>45</v>
      </c>
      <c r="B51" s="19" t="s">
        <v>69</v>
      </c>
      <c r="C51" s="19">
        <v>0.13755300000000001</v>
      </c>
      <c r="D51" s="19">
        <v>0.309946</v>
      </c>
      <c r="E51" s="19">
        <v>-5.4327E-2</v>
      </c>
      <c r="F51" s="19">
        <v>0.32943299999999998</v>
      </c>
    </row>
    <row r="52" spans="1:6" x14ac:dyDescent="0.25">
      <c r="A52" t="s">
        <v>51</v>
      </c>
      <c r="B52" t="s">
        <v>57</v>
      </c>
      <c r="C52">
        <v>1.2233000000000001E-2</v>
      </c>
      <c r="D52">
        <v>0.99999899999999997</v>
      </c>
      <c r="E52">
        <v>-0.19128700000000001</v>
      </c>
      <c r="F52">
        <v>0.215752</v>
      </c>
    </row>
    <row r="53" spans="1:6" x14ac:dyDescent="0.25">
      <c r="A53" t="s">
        <v>51</v>
      </c>
      <c r="B53" t="s">
        <v>63</v>
      </c>
      <c r="C53">
        <v>-6.2597E-2</v>
      </c>
      <c r="D53">
        <v>0.97075800000000001</v>
      </c>
      <c r="E53">
        <v>-0.26611600000000002</v>
      </c>
      <c r="F53">
        <v>0.14092299999999999</v>
      </c>
    </row>
    <row r="54" spans="1:6" x14ac:dyDescent="0.25">
      <c r="A54" s="19" t="s">
        <v>51</v>
      </c>
      <c r="B54" s="19" t="s">
        <v>69</v>
      </c>
      <c r="C54" s="19">
        <v>1.7146999999999999E-2</v>
      </c>
      <c r="D54" s="19">
        <v>0.99999300000000002</v>
      </c>
      <c r="E54" s="19">
        <v>-0.18637300000000001</v>
      </c>
      <c r="F54" s="19">
        <v>0.220666</v>
      </c>
    </row>
    <row r="55" spans="1:6" x14ac:dyDescent="0.25">
      <c r="A55" t="s">
        <v>57</v>
      </c>
      <c r="B55" t="s">
        <v>63</v>
      </c>
      <c r="C55">
        <v>-7.4829000000000007E-2</v>
      </c>
      <c r="D55">
        <v>0.90313699999999997</v>
      </c>
      <c r="E55">
        <v>-0.26670899999999997</v>
      </c>
      <c r="F55">
        <v>0.117051</v>
      </c>
    </row>
    <row r="56" spans="1:6" x14ac:dyDescent="0.25">
      <c r="A56" s="19" t="s">
        <v>57</v>
      </c>
      <c r="B56" s="19" t="s">
        <v>69</v>
      </c>
      <c r="C56" s="19">
        <v>4.914E-3</v>
      </c>
      <c r="D56" s="19">
        <v>1</v>
      </c>
      <c r="E56" s="19">
        <v>-0.18696599999999999</v>
      </c>
      <c r="F56" s="19">
        <v>0.196794</v>
      </c>
    </row>
    <row r="57" spans="1:6" x14ac:dyDescent="0.25">
      <c r="A57" t="s">
        <v>63</v>
      </c>
      <c r="B57" t="s">
        <v>69</v>
      </c>
      <c r="C57">
        <v>7.9742999999999994E-2</v>
      </c>
      <c r="D57">
        <v>0.87097599999999997</v>
      </c>
      <c r="E57">
        <v>-0.112137</v>
      </c>
      <c r="F57">
        <v>0.271623</v>
      </c>
    </row>
  </sheetData>
  <conditionalFormatting sqref="D30:D57">
    <cfRule type="cellIs" dxfId="1" priority="1" operator="between">
      <formula>0.49</formula>
      <formula>0.51</formula>
    </cfRule>
    <cfRule type="cellIs" dxfId="0" priority="2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4</vt:i4>
      </vt:variant>
    </vt:vector>
  </HeadingPairs>
  <TitlesOfParts>
    <vt:vector size="4" baseType="lpstr">
      <vt:lpstr>Tablica</vt:lpstr>
      <vt:lpstr>Mitotski indeks</vt:lpstr>
      <vt:lpstr>Mutacije</vt:lpstr>
      <vt:lpstr>Interfazne vakuole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Andrej Bartulin</dc:creator>
  <cp:keywords/>
  <dc:description/>
  <cp:lastModifiedBy>Andrej Bartulin</cp:lastModifiedBy>
  <cp:revision/>
  <dcterms:created xsi:type="dcterms:W3CDTF">2026-02-16T15:55:44Z</dcterms:created>
  <dcterms:modified xsi:type="dcterms:W3CDTF">2026-06-17T11:19:50Z</dcterms:modified>
  <cp:category/>
  <cp:contentStatus/>
</cp:coreProperties>
</file>