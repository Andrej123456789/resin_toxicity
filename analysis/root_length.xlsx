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ming\GitHub\Andrej123456789\resin_toxicity\analysis\"/>
    </mc:Choice>
  </mc:AlternateContent>
  <xr:revisionPtr revIDLastSave="0" documentId="13_ncr:1_{D7E15067-8ECF-48E6-B564-070A4D3FB327}" xr6:coauthVersionLast="47" xr6:coauthVersionMax="47" xr10:uidLastSave="{00000000-0000-0000-0000-000000000000}"/>
  <bookViews>
    <workbookView xWindow="-120" yWindow="-120" windowWidth="29040" windowHeight="15720" xr2:uid="{88CE4192-5E78-4EDE-9878-272C80DED803}"/>
  </bookViews>
  <sheets>
    <sheet name="Tablica" sheetId="1" r:id="rId1"/>
    <sheet name="ANOVA" sheetId="7" r:id="rId2"/>
    <sheet name="Turkey-Kramer" sheetId="8" r:id="rId3"/>
    <sheet name="raw" sheetId="2" r:id="rId4"/>
    <sheet name="raw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  <c r="B58" i="1"/>
  <c r="B57" i="1"/>
  <c r="B56" i="1"/>
  <c r="B55" i="1"/>
  <c r="B54" i="1"/>
  <c r="B53" i="1"/>
  <c r="F12" i="7"/>
  <c r="F11" i="7"/>
  <c r="F10" i="7"/>
  <c r="F9" i="7"/>
  <c r="F8" i="7"/>
  <c r="F7" i="7"/>
  <c r="F6" i="7"/>
  <c r="F5" i="7"/>
  <c r="D50" i="1" l="1"/>
  <c r="A59" i="1" s="1"/>
  <c r="E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A58" i="1" s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A57" i="1" s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A56" i="1" s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0" i="1"/>
  <c r="D20" i="1"/>
  <c r="A54" i="1" s="1"/>
  <c r="C20" i="1"/>
  <c r="E19" i="1"/>
  <c r="D19" i="1"/>
  <c r="C19" i="1"/>
  <c r="E18" i="1"/>
  <c r="D18" i="1"/>
  <c r="C18" i="1"/>
  <c r="E16" i="1"/>
  <c r="E17" i="1"/>
  <c r="D17" i="1"/>
  <c r="C17" i="1"/>
  <c r="D16" i="1"/>
  <c r="C16" i="1"/>
  <c r="E15" i="1"/>
  <c r="D15" i="1"/>
  <c r="C15" i="1"/>
  <c r="E14" i="1"/>
  <c r="D14" i="1"/>
  <c r="A53" i="1" s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B52" i="1" s="1"/>
  <c r="D8" i="1"/>
  <c r="A52" i="1" s="1"/>
  <c r="C8" i="1"/>
  <c r="E7" i="1"/>
  <c r="D7" i="1"/>
  <c r="C7" i="1"/>
  <c r="E6" i="1"/>
  <c r="D6" i="1"/>
  <c r="C6" i="1"/>
  <c r="E5" i="1"/>
  <c r="D5" i="1"/>
  <c r="C5" i="1"/>
  <c r="E3" i="1"/>
  <c r="D3" i="1"/>
  <c r="C3" i="1"/>
  <c r="E26" i="1"/>
  <c r="D26" i="1"/>
  <c r="A55" i="1" s="1"/>
  <c r="C26" i="1"/>
  <c r="E25" i="1"/>
  <c r="D25" i="1"/>
  <c r="C25" i="1"/>
  <c r="E24" i="1"/>
  <c r="D24" i="1"/>
  <c r="C24" i="1"/>
  <c r="C21" i="1"/>
  <c r="E23" i="1"/>
  <c r="D23" i="1"/>
  <c r="C23" i="1"/>
  <c r="E22" i="1"/>
  <c r="D22" i="1"/>
  <c r="C22" i="1"/>
  <c r="E21" i="1"/>
  <c r="D21" i="1"/>
  <c r="E4" i="1"/>
  <c r="D4" i="1"/>
  <c r="C4" i="1"/>
</calcChain>
</file>

<file path=xl/sharedStrings.xml><?xml version="1.0" encoding="utf-8"?>
<sst xmlns="http://schemas.openxmlformats.org/spreadsheetml/2006/main" count="193" uniqueCount="83">
  <si>
    <t>Oznaka lukovice</t>
  </si>
  <si>
    <t>n</t>
  </si>
  <si>
    <t>Suma</t>
  </si>
  <si>
    <t>Prosjek</t>
  </si>
  <si>
    <t>SD</t>
  </si>
  <si>
    <t>Duljina korjenčića (mm)</t>
  </si>
  <si>
    <t>K- a</t>
  </si>
  <si>
    <t>K- b</t>
  </si>
  <si>
    <t>K- c</t>
  </si>
  <si>
    <t>K- d</t>
  </si>
  <si>
    <t>K- e</t>
  </si>
  <si>
    <t>K-</t>
  </si>
  <si>
    <t>K+ a</t>
  </si>
  <si>
    <t>K+ b</t>
  </si>
  <si>
    <t>K+ c</t>
  </si>
  <si>
    <t>K+ d</t>
  </si>
  <si>
    <t>K+ e</t>
  </si>
  <si>
    <t>K+</t>
  </si>
  <si>
    <t>V1 a</t>
  </si>
  <si>
    <t>V1 b</t>
  </si>
  <si>
    <t>V1 c</t>
  </si>
  <si>
    <t>V1 d</t>
  </si>
  <si>
    <t>V1 e</t>
  </si>
  <si>
    <t>V1</t>
  </si>
  <si>
    <t>A1 a</t>
  </si>
  <si>
    <t>A1 b</t>
  </si>
  <si>
    <t>A1 c</t>
  </si>
  <si>
    <t>A1 d</t>
  </si>
  <si>
    <t>A1 e</t>
  </si>
  <si>
    <t>A1</t>
  </si>
  <si>
    <t>U1 a</t>
  </si>
  <si>
    <t>U1 b</t>
  </si>
  <si>
    <t>U1 c</t>
  </si>
  <si>
    <t>U1 d</t>
  </si>
  <si>
    <t>U1 e</t>
  </si>
  <si>
    <t>U1</t>
  </si>
  <si>
    <t>V2 a</t>
  </si>
  <si>
    <t>V2 b</t>
  </si>
  <si>
    <t>V2 c</t>
  </si>
  <si>
    <t>V2 d</t>
  </si>
  <si>
    <t>V2 e</t>
  </si>
  <si>
    <t>V2</t>
  </si>
  <si>
    <t>A2 a</t>
  </si>
  <si>
    <t>A2 b</t>
  </si>
  <si>
    <t>A2 c</t>
  </si>
  <si>
    <t>A2 d</t>
  </si>
  <si>
    <t>A2 e</t>
  </si>
  <si>
    <t>A2</t>
  </si>
  <si>
    <t>U2 a</t>
  </si>
  <si>
    <t>U2 b</t>
  </si>
  <si>
    <t>U2 c</t>
  </si>
  <si>
    <t>U2 d</t>
  </si>
  <si>
    <t>U2 e</t>
  </si>
  <si>
    <t>U2</t>
  </si>
  <si>
    <t>K-a</t>
  </si>
  <si>
    <t>K-b</t>
  </si>
  <si>
    <t>K-c</t>
  </si>
  <si>
    <t>K-d</t>
  </si>
  <si>
    <t>K-e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</si>
  <si>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</si>
  <si>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</si>
  <si>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</si>
  <si>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</si>
  <si>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</si>
  <si>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</si>
  <si>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</si>
  <si>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</si>
  <si>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</si>
  <si>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</si>
  <si>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</si>
  <si>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</si>
  <si>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</si>
  <si>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</si>
  <si>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</si>
  <si>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</si>
  <si>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</si>
  <si>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</si>
  <si>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Statistic</t>
  </si>
  <si>
    <t>Group1</t>
  </si>
  <si>
    <t>Group2</t>
  </si>
  <si>
    <t>PValue</t>
  </si>
  <si>
    <t>CI_Low</t>
  </si>
  <si>
    <t>CI_High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</si>
</sst>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1" fillId="0" borderId="11" xfId="0" applyFont="1" applyBorder="1"/>
    <xf numFmtId="0" fontId="1" fillId="0" borderId="12" xfId="0" applyFont="1" applyBorder="1"/>
    <xf numFmtId="0" fontId="1" fillId="0" borderId="7" xfId="0" applyFont="1" applyBorder="1"/>
    <xf numFmtId="0" fontId="0" fillId="0" borderId="13" xfId="0" applyBorder="1"/>
    <xf numFmtId="0" fontId="2" fillId="0" borderId="14" xfId="0" applyFont="1" applyBorder="1" applyAlignment="1">
      <alignment horizontal="center"/>
    </xf>
    <xf numFmtId="0" fontId="0" fillId="0" borderId="12" xfId="0" applyBorder="1"/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no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4BB9-DA0A-4DBC-9CBE-93D8B093FCB5}">
  <dimension ref="A1:E59"/>
  <sheetViews>
    <sheetView tabSelected="1" zoomScaleNormal="100" workbookViewId="0">
      <selection activeCell="F20" sqref="F20"/>
    </sheetView>
  </sheetViews>
  <sheetFormatPr defaultRowHeight="15" x14ac:dyDescent="0.25"/>
  <cols>
    <col min="1" max="1" width="25.7109375" customWidth="1"/>
    <col min="2" max="2" width="15.7109375" customWidth="1"/>
    <col min="3" max="8" width="20.7109375" customWidth="1"/>
  </cols>
  <sheetData>
    <row r="1" spans="1:5" x14ac:dyDescent="0.25">
      <c r="A1" s="15" t="s">
        <v>0</v>
      </c>
      <c r="B1" s="20" t="s">
        <v>1</v>
      </c>
      <c r="C1" s="17" t="s">
        <v>5</v>
      </c>
      <c r="D1" s="18"/>
      <c r="E1" s="19"/>
    </row>
    <row r="2" spans="1:5" x14ac:dyDescent="0.25">
      <c r="A2" s="16"/>
      <c r="B2" s="21"/>
      <c r="C2" s="1" t="s">
        <v>2</v>
      </c>
      <c r="D2" s="1" t="s">
        <v>3</v>
      </c>
      <c r="E2" s="2" t="s">
        <v>4</v>
      </c>
    </row>
    <row r="3" spans="1:5" x14ac:dyDescent="0.25">
      <c r="A3" s="3" t="s">
        <v>6</v>
      </c>
      <c r="B3" s="5"/>
      <c r="C3">
        <f>SUM(raw!A2:B50)</f>
        <v>5491.2309999999998</v>
      </c>
      <c r="D3">
        <f>AVERAGE(raw!A2:B50)</f>
        <v>63.851523255813952</v>
      </c>
      <c r="E3" s="7">
        <f>_xlfn.STDEV.S(raw!A2:B50)</f>
        <v>18.555272357268016</v>
      </c>
    </row>
    <row r="4" spans="1:5" x14ac:dyDescent="0.25">
      <c r="A4" s="3" t="s">
        <v>7</v>
      </c>
      <c r="B4" s="6">
        <v>34</v>
      </c>
      <c r="C4">
        <f>SUM(raw!C2:C35)</f>
        <v>1269.0619999999999</v>
      </c>
      <c r="D4">
        <f>AVERAGE(raw!C2:C35)</f>
        <v>37.325352941176469</v>
      </c>
      <c r="E4" s="8">
        <f>_xlfn.STDEV.S(raw!C2:C35)</f>
        <v>17.870433577148994</v>
      </c>
    </row>
    <row r="5" spans="1:5" x14ac:dyDescent="0.25">
      <c r="A5" s="3" t="s">
        <v>8</v>
      </c>
      <c r="B5" s="6"/>
      <c r="C5">
        <f>SUM(raw!D2:E51)</f>
        <v>6989.9939999999997</v>
      </c>
      <c r="D5">
        <f>AVERAGE(raw!D2:E51)</f>
        <v>84.216795180722883</v>
      </c>
      <c r="E5" s="8">
        <f>_xlfn.STDEV.S(raw!D2:E51)</f>
        <v>31.053438419161605</v>
      </c>
    </row>
    <row r="6" spans="1:5" x14ac:dyDescent="0.25">
      <c r="A6" s="3" t="s">
        <v>9</v>
      </c>
      <c r="B6" s="6"/>
      <c r="C6">
        <f>SUM(raw!F2:F25)</f>
        <v>387.85100000000006</v>
      </c>
      <c r="D6">
        <f>AVERAGE(raw!F2:F25)</f>
        <v>16.160458333333334</v>
      </c>
      <c r="E6" s="8">
        <f>_xlfn.STDEV.S(raw!F2:F25)</f>
        <v>6.8157426912238215</v>
      </c>
    </row>
    <row r="7" spans="1:5" x14ac:dyDescent="0.25">
      <c r="A7" s="3" t="s">
        <v>10</v>
      </c>
      <c r="B7" s="6"/>
      <c r="C7">
        <f>SUM(raw!G2:G13)</f>
        <v>108.92599999999999</v>
      </c>
      <c r="D7">
        <f>AVERAGE(raw!G2:G13)</f>
        <v>9.0771666666666651</v>
      </c>
      <c r="E7" s="8">
        <f>_xlfn.STDEV.S(raw!G2:G13)</f>
        <v>3.0971049482712223</v>
      </c>
    </row>
    <row r="8" spans="1:5" x14ac:dyDescent="0.25">
      <c r="A8" s="4" t="s">
        <v>11</v>
      </c>
      <c r="B8" s="9"/>
      <c r="C8" s="10">
        <f>SUM(raw!A2:G51)</f>
        <v>14247.064000000004</v>
      </c>
      <c r="D8" s="10">
        <f>AVERAGE(raw!A2:G51)</f>
        <v>59.611146443514663</v>
      </c>
      <c r="E8" s="11">
        <f>_xlfn.STDEV.S(raw!A2:G51)</f>
        <v>33.348879192099076</v>
      </c>
    </row>
    <row r="9" spans="1:5" x14ac:dyDescent="0.25">
      <c r="A9" s="3" t="s">
        <v>12</v>
      </c>
      <c r="B9" s="6"/>
      <c r="C9">
        <f>SUM(raw!M2:M31)</f>
        <v>816.74900000000014</v>
      </c>
      <c r="D9">
        <f>AVERAGE(raw!M2:M31)</f>
        <v>27.224966666666671</v>
      </c>
      <c r="E9" s="8">
        <f>_xlfn.STDEV.S(raw!M2:M31)</f>
        <v>6.9969231882519862</v>
      </c>
    </row>
    <row r="10" spans="1:5" x14ac:dyDescent="0.25">
      <c r="A10" s="3" t="s">
        <v>13</v>
      </c>
      <c r="B10" s="6"/>
      <c r="C10">
        <f>SUM(raw!N2:N21)</f>
        <v>448.56600000000003</v>
      </c>
      <c r="D10">
        <f>AVERAGE(raw!N2:N21)</f>
        <v>22.4283</v>
      </c>
      <c r="E10" s="8">
        <f>_xlfn.STDEV.S(raw!N2:N21)</f>
        <v>3.8212997251555167</v>
      </c>
    </row>
    <row r="11" spans="1:5" x14ac:dyDescent="0.25">
      <c r="A11" s="3" t="s">
        <v>14</v>
      </c>
      <c r="B11" s="6"/>
      <c r="C11">
        <f>SUM(raw!O2:O29)</f>
        <v>1428.0649999999996</v>
      </c>
      <c r="D11">
        <f>AVERAGE(raw!O2:O29)</f>
        <v>51.002321428571413</v>
      </c>
      <c r="E11" s="8">
        <f>_xlfn.STDEV.S(raw!O2:O29)</f>
        <v>12.599496433363566</v>
      </c>
    </row>
    <row r="12" spans="1:5" x14ac:dyDescent="0.25">
      <c r="A12" s="3" t="s">
        <v>15</v>
      </c>
      <c r="B12" s="6"/>
      <c r="C12">
        <f>SUM(raw!P2:P4)</f>
        <v>35.706000000000003</v>
      </c>
      <c r="D12">
        <f>AVERAGE(raw!P2:P4)</f>
        <v>11.902000000000001</v>
      </c>
      <c r="E12" s="8">
        <f>_xlfn.STDEV.S(raw!P2:P4)</f>
        <v>2.1126201740966071</v>
      </c>
    </row>
    <row r="13" spans="1:5" x14ac:dyDescent="0.25">
      <c r="A13" s="3" t="s">
        <v>16</v>
      </c>
      <c r="B13" s="6"/>
      <c r="C13">
        <f>SUM(raw!Q2:Q3)</f>
        <v>4.13</v>
      </c>
      <c r="D13">
        <f>AVERAGE(raw!Q2:Q3)</f>
        <v>2.0649999999999999</v>
      </c>
      <c r="E13" s="8">
        <f>_xlfn.STDEV.S(raw!Q2:Q3)</f>
        <v>0.28425692603699204</v>
      </c>
    </row>
    <row r="14" spans="1:5" x14ac:dyDescent="0.25">
      <c r="A14" s="4" t="s">
        <v>17</v>
      </c>
      <c r="B14" s="9"/>
      <c r="C14" s="10">
        <f>SUM(raw!M2:Q31)</f>
        <v>2733.2159999999985</v>
      </c>
      <c r="D14" s="10">
        <f>AVERAGE(raw!M2:Q31)</f>
        <v>32.930313253012031</v>
      </c>
      <c r="E14" s="11">
        <f>_xlfn.STDEV.S(raw!M2:Q31)</f>
        <v>16.211780330551097</v>
      </c>
    </row>
    <row r="15" spans="1:5" x14ac:dyDescent="0.25">
      <c r="A15" s="3" t="s">
        <v>18</v>
      </c>
      <c r="B15" s="6"/>
      <c r="C15">
        <f>SUM(raw!R2:R37)</f>
        <v>900.44699999999989</v>
      </c>
      <c r="D15">
        <f>AVERAGE(raw!R2:R37)</f>
        <v>25.012416666666663</v>
      </c>
      <c r="E15" s="8">
        <f>_xlfn.STDEV.S(raw!R2:R37)</f>
        <v>7.6300312164686446</v>
      </c>
    </row>
    <row r="16" spans="1:5" x14ac:dyDescent="0.25">
      <c r="A16" s="3" t="s">
        <v>19</v>
      </c>
      <c r="B16" s="6"/>
      <c r="C16">
        <f>SUM(raw!S2:S6)</f>
        <v>75.867000000000004</v>
      </c>
      <c r="D16">
        <f>AVERAGE(raw!S2:S6)</f>
        <v>15.173400000000001</v>
      </c>
      <c r="E16" s="8">
        <f>_xlfn.STDEV.S(raw!S2:S23)</f>
        <v>3.0701046073383167</v>
      </c>
    </row>
    <row r="17" spans="1:5" x14ac:dyDescent="0.25">
      <c r="A17" s="3" t="s">
        <v>20</v>
      </c>
      <c r="B17" s="6"/>
      <c r="C17">
        <f>SUM(raw!T2:T23)</f>
        <v>570.77799999999991</v>
      </c>
      <c r="D17">
        <f>AVERAGE(raw!T2:T23)</f>
        <v>25.944454545454541</v>
      </c>
      <c r="E17" s="8">
        <f>_xlfn.STDEV.S(raw!T2:T23)</f>
        <v>7.0133233052205624</v>
      </c>
    </row>
    <row r="18" spans="1:5" x14ac:dyDescent="0.25">
      <c r="A18" s="3" t="s">
        <v>21</v>
      </c>
      <c r="B18" s="6"/>
      <c r="C18">
        <f>SUM(raw!U2:U41)</f>
        <v>1012.307</v>
      </c>
      <c r="D18">
        <f>AVERAGE(raw!U2:U41)</f>
        <v>25.307675</v>
      </c>
      <c r="E18" s="8">
        <f>_xlfn.STDEV.S(raw!U2:U41)</f>
        <v>5.3176847978810464</v>
      </c>
    </row>
    <row r="19" spans="1:5" x14ac:dyDescent="0.25">
      <c r="A19" s="3" t="s">
        <v>22</v>
      </c>
      <c r="B19" s="6"/>
      <c r="C19">
        <f>SUM(raw!V2:V11)</f>
        <v>350.08500000000004</v>
      </c>
      <c r="D19">
        <f>AVERAGE(raw!V2:V11)</f>
        <v>35.008500000000005</v>
      </c>
      <c r="E19" s="8">
        <f>_xlfn.STDEV.S(raw!V2:V11)</f>
        <v>11.94792213687756</v>
      </c>
    </row>
    <row r="20" spans="1:5" x14ac:dyDescent="0.25">
      <c r="A20" s="4" t="s">
        <v>23</v>
      </c>
      <c r="B20" s="9"/>
      <c r="C20" s="10">
        <f>SUM(raw!R2:V41)</f>
        <v>2909.4839999999999</v>
      </c>
      <c r="D20" s="10">
        <f>AVERAGE(raw!R2:V41)</f>
        <v>25.747646017699115</v>
      </c>
      <c r="E20" s="11">
        <f>_xlfn.STDEV.S(raw!R2:V41)</f>
        <v>7.8720815010575391</v>
      </c>
    </row>
    <row r="21" spans="1:5" x14ac:dyDescent="0.25">
      <c r="A21" s="3" t="s">
        <v>24</v>
      </c>
      <c r="B21" s="6"/>
      <c r="C21">
        <f>SUM(raw!H2:H60)</f>
        <v>1799.8890000000006</v>
      </c>
      <c r="D21">
        <f>AVERAGE(raw!H2:H60)</f>
        <v>30.506593220338992</v>
      </c>
      <c r="E21" s="8">
        <f>_xlfn.STDEV.S(raw!H2:H60)</f>
        <v>14.552550550378859</v>
      </c>
    </row>
    <row r="22" spans="1:5" x14ac:dyDescent="0.25">
      <c r="A22" s="3" t="s">
        <v>25</v>
      </c>
      <c r="B22" s="6"/>
      <c r="C22">
        <f>SUM(raw!I2:I57)</f>
        <v>2017.3760000000007</v>
      </c>
      <c r="D22">
        <f>AVERAGE(raw!I2:I57)</f>
        <v>36.024571428571441</v>
      </c>
      <c r="E22" s="8">
        <f>_xlfn.STDEV.S(raw!I2:I57)</f>
        <v>13.917154647617917</v>
      </c>
    </row>
    <row r="23" spans="1:5" x14ac:dyDescent="0.25">
      <c r="A23" s="3" t="s">
        <v>26</v>
      </c>
      <c r="B23" s="6"/>
      <c r="C23">
        <f>SUM(raw!J2:J68)</f>
        <v>3112.4329999999991</v>
      </c>
      <c r="D23">
        <f>AVERAGE(raw!J2:J68)</f>
        <v>46.454223880596999</v>
      </c>
      <c r="E23" s="8">
        <f>_xlfn.STDEV.S(raw!J2:J68)</f>
        <v>14.845181175926729</v>
      </c>
    </row>
    <row r="24" spans="1:5" x14ac:dyDescent="0.25">
      <c r="A24" s="3" t="s">
        <v>27</v>
      </c>
      <c r="B24" s="6"/>
      <c r="C24">
        <f>SUM(raw!K2:K42)</f>
        <v>2830.8930000000005</v>
      </c>
      <c r="D24">
        <f>AVERAGE(raw!K2:K42)</f>
        <v>69.046170731707335</v>
      </c>
      <c r="E24" s="8">
        <f>_xlfn.STDEV.S(raw!K2:K42)</f>
        <v>28.239278142245759</v>
      </c>
    </row>
    <row r="25" spans="1:5" x14ac:dyDescent="0.25">
      <c r="A25" s="3" t="s">
        <v>28</v>
      </c>
      <c r="B25" s="6"/>
      <c r="C25">
        <f>SUM(raw!L2:L3)</f>
        <v>73.150999999999996</v>
      </c>
      <c r="D25">
        <f>AVERAGE(raw!L2:L3)</f>
        <v>36.575499999999998</v>
      </c>
      <c r="E25" s="8">
        <f>_xlfn.STDEV.S(raw!L2:L3)</f>
        <v>1.8434273785533288</v>
      </c>
    </row>
    <row r="26" spans="1:5" x14ac:dyDescent="0.25">
      <c r="A26" s="4" t="s">
        <v>29</v>
      </c>
      <c r="B26" s="9"/>
      <c r="C26" s="10">
        <f>SUM(raw!H2:L68)</f>
        <v>9878.715000000002</v>
      </c>
      <c r="D26" s="10">
        <f>AVERAGE(raw!H2:L68)</f>
        <v>43.71112831858408</v>
      </c>
      <c r="E26" s="11">
        <f>_xlfn.STDEV.S(raw!H2:L68)</f>
        <v>22.101025843388513</v>
      </c>
    </row>
    <row r="27" spans="1:5" x14ac:dyDescent="0.25">
      <c r="A27" s="3" t="s">
        <v>30</v>
      </c>
      <c r="B27" s="6"/>
      <c r="C27">
        <f>SUM(raw!W2:W43)</f>
        <v>3108.5990000000002</v>
      </c>
      <c r="D27">
        <f>AVERAGE(raw!W2:W43)</f>
        <v>74.014261904761909</v>
      </c>
      <c r="E27" s="8">
        <f>_xlfn.STDEV.S(raw!W2:W43)</f>
        <v>32.889358631229562</v>
      </c>
    </row>
    <row r="28" spans="1:5" x14ac:dyDescent="0.25">
      <c r="A28" s="3" t="s">
        <v>31</v>
      </c>
      <c r="B28" s="6"/>
      <c r="C28">
        <f>SUM(raw!X2:X54)</f>
        <v>2674.5630000000001</v>
      </c>
      <c r="D28">
        <f>AVERAGE(raw!X2:X54)</f>
        <v>50.463452830188679</v>
      </c>
      <c r="E28" s="8">
        <f>_xlfn.STDEV.S(raw!X2:X54)</f>
        <v>14.977173913821199</v>
      </c>
    </row>
    <row r="29" spans="1:5" x14ac:dyDescent="0.25">
      <c r="A29" s="3" t="s">
        <v>32</v>
      </c>
      <c r="B29" s="6"/>
      <c r="C29">
        <f>SUM(raw!Y2:Y20)</f>
        <v>524.61300000000006</v>
      </c>
      <c r="D29">
        <f>AVERAGE(raw!X2:X54)</f>
        <v>50.463452830188679</v>
      </c>
      <c r="E29" s="8">
        <f>_xlfn.STDEV.S(raw!X2:X54)</f>
        <v>14.977173913821199</v>
      </c>
    </row>
    <row r="30" spans="1:5" x14ac:dyDescent="0.25">
      <c r="A30" s="3" t="s">
        <v>33</v>
      </c>
      <c r="B30" s="6"/>
      <c r="C30">
        <f>SUM(raw!Z2:Z9)</f>
        <v>135.90100000000001</v>
      </c>
      <c r="D30">
        <f>AVERAGE(raw!Z2:Z9)</f>
        <v>16.987625000000001</v>
      </c>
      <c r="E30" s="8">
        <f>_xlfn.STDEV.S(raw!Z2:Z9)</f>
        <v>4.6886427197613747</v>
      </c>
    </row>
    <row r="31" spans="1:5" x14ac:dyDescent="0.25">
      <c r="A31" s="3" t="s">
        <v>34</v>
      </c>
      <c r="B31" s="6"/>
      <c r="C31">
        <f>SUM(raw!AA2:AA50)</f>
        <v>3054.4649999999988</v>
      </c>
      <c r="D31">
        <f>AVERAGE(raw!AA2:AA50)</f>
        <v>62.336020408163243</v>
      </c>
      <c r="E31" s="8">
        <f>_xlfn.STDEV.S(raw!AA2:AA50)</f>
        <v>18.251680440315926</v>
      </c>
    </row>
    <row r="32" spans="1:5" x14ac:dyDescent="0.25">
      <c r="A32" s="4" t="s">
        <v>35</v>
      </c>
      <c r="B32" s="9"/>
      <c r="C32" s="10">
        <f>SUM(raw!W2:AA54)</f>
        <v>9498.1409999999978</v>
      </c>
      <c r="D32" s="10">
        <f>AVERAGE(raw!W2:AA54)</f>
        <v>55.544684210526306</v>
      </c>
      <c r="E32" s="11">
        <f>_xlfn.STDEV.S(raw!W2:AA54)</f>
        <v>26.34386239926593</v>
      </c>
    </row>
    <row r="33" spans="1:5" x14ac:dyDescent="0.25">
      <c r="A33" s="3" t="s">
        <v>36</v>
      </c>
      <c r="B33" s="6"/>
      <c r="C33">
        <f>SUM(raw!AB2:AB9)</f>
        <v>158.50200000000001</v>
      </c>
      <c r="D33">
        <f>AVERAGE(raw!AB2:AB9)</f>
        <v>19.812750000000001</v>
      </c>
      <c r="E33" s="8">
        <f>_xlfn.STDEV.S(raw!AB2:AB9)</f>
        <v>12.376130375502209</v>
      </c>
    </row>
    <row r="34" spans="1:5" x14ac:dyDescent="0.25">
      <c r="A34" s="3" t="s">
        <v>37</v>
      </c>
      <c r="B34" s="6"/>
      <c r="C34">
        <f>SUM(raw!AC2:AC47)</f>
        <v>1544.2050000000002</v>
      </c>
      <c r="D34">
        <f>AVERAGE(raw!AC2:AC47)</f>
        <v>33.569673913043481</v>
      </c>
      <c r="E34" s="8">
        <f>_xlfn.STDEV.S(raw!AC2:AC47)</f>
        <v>7.6092857076201925</v>
      </c>
    </row>
    <row r="35" spans="1:5" x14ac:dyDescent="0.25">
      <c r="A35" s="3" t="s">
        <v>38</v>
      </c>
      <c r="B35" s="6"/>
      <c r="C35">
        <f>SUM(raw!AD2:AD69)</f>
        <v>2890.8700000000008</v>
      </c>
      <c r="D35">
        <f>AVERAGE(raw!AD2:AD69)</f>
        <v>42.512794117647069</v>
      </c>
      <c r="E35" s="8">
        <f>_xlfn.STDEV.S(raw!AD2:AD69)</f>
        <v>12.844525772296455</v>
      </c>
    </row>
    <row r="36" spans="1:5" x14ac:dyDescent="0.25">
      <c r="A36" s="3" t="s">
        <v>39</v>
      </c>
      <c r="B36" s="6"/>
      <c r="C36">
        <f>SUM(raw!AE2:AE56)</f>
        <v>2956.8629999999994</v>
      </c>
      <c r="D36">
        <f>AVERAGE(raw!AE2:AE56)</f>
        <v>53.761145454545442</v>
      </c>
      <c r="E36" s="8">
        <f>_xlfn.STDEV.S(raw!AE2:AE56)</f>
        <v>11.182415591451267</v>
      </c>
    </row>
    <row r="37" spans="1:5" x14ac:dyDescent="0.25">
      <c r="A37" s="3" t="s">
        <v>40</v>
      </c>
      <c r="B37" s="6"/>
      <c r="C37">
        <f>SUM(raw!AF2:AF31)</f>
        <v>1202.6500000000001</v>
      </c>
      <c r="D37">
        <f>AVERAGE(raw!AF2:AF31)</f>
        <v>40.088333333333338</v>
      </c>
      <c r="E37" s="8">
        <f>_xlfn.STDEV.S(raw!AF2:AF31)</f>
        <v>8.1667045028445457</v>
      </c>
    </row>
    <row r="38" spans="1:5" x14ac:dyDescent="0.25">
      <c r="A38" s="4" t="s">
        <v>41</v>
      </c>
      <c r="B38" s="9"/>
      <c r="C38" s="10">
        <f>SUM(raw!AB2:AF69)</f>
        <v>8753.0899999999983</v>
      </c>
      <c r="D38" s="10">
        <f>AVERAGE(raw!AB2:AF69)</f>
        <v>42.285458937198058</v>
      </c>
      <c r="E38" s="11">
        <f>_xlfn.STDEV.S(raw!AB2:AF69)</f>
        <v>13.643183591154509</v>
      </c>
    </row>
    <row r="39" spans="1:5" x14ac:dyDescent="0.25">
      <c r="A39" s="3" t="s">
        <v>42</v>
      </c>
      <c r="B39" s="6"/>
      <c r="C39">
        <f>SUM(raw!AG2:AG38)</f>
        <v>1388.43</v>
      </c>
      <c r="D39">
        <f>AVERAGE(raw!AG2:AG38)</f>
        <v>37.525135135135137</v>
      </c>
      <c r="E39" s="8">
        <f>_xlfn.STDEV.S(raw!AG2:AG38)</f>
        <v>13.118295144911515</v>
      </c>
    </row>
    <row r="40" spans="1:5" x14ac:dyDescent="0.25">
      <c r="A40" s="3" t="s">
        <v>43</v>
      </c>
      <c r="B40" s="6"/>
      <c r="C40">
        <f>SUM(raw!AH2:AH19)</f>
        <v>370.87800000000004</v>
      </c>
      <c r="D40">
        <f>AVERAGE(raw!AH2:AH19)</f>
        <v>20.604333333333336</v>
      </c>
      <c r="E40" s="8">
        <f>_xlfn.STDEV.S(raw!AH2:AH19)</f>
        <v>2.6745958903113873</v>
      </c>
    </row>
    <row r="41" spans="1:5" x14ac:dyDescent="0.25">
      <c r="A41" s="3" t="s">
        <v>44</v>
      </c>
      <c r="B41" s="6"/>
      <c r="C41">
        <f>SUM(raw!AI2:AI56)</f>
        <v>2146.985000000001</v>
      </c>
      <c r="D41">
        <f>AVERAGE(raw!AI2:AI56)</f>
        <v>39.03609090909093</v>
      </c>
      <c r="E41" s="8">
        <f>_xlfn.STDEV.S(raw!AI2:AI56)</f>
        <v>11.619747203970206</v>
      </c>
    </row>
    <row r="42" spans="1:5" x14ac:dyDescent="0.25">
      <c r="A42" s="3" t="s">
        <v>45</v>
      </c>
      <c r="B42" s="6"/>
      <c r="C42">
        <f>SUM(raw!AJ2:AJ52)</f>
        <v>2469.835</v>
      </c>
      <c r="D42">
        <f>AVERAGE(raw!AJ2:AJ52)</f>
        <v>48.428137254901962</v>
      </c>
      <c r="E42" s="8">
        <f>_xlfn.STDEV.S(raw!AJ2:AJ52)</f>
        <v>11.106583770034067</v>
      </c>
    </row>
    <row r="43" spans="1:5" x14ac:dyDescent="0.25">
      <c r="A43" s="3" t="s">
        <v>46</v>
      </c>
      <c r="B43" s="6"/>
      <c r="C43">
        <f>SUM(raw!AK2:AK49)</f>
        <v>2360.9270000000001</v>
      </c>
      <c r="D43">
        <f>AVERAGE(raw!AK2:AK49)</f>
        <v>49.185979166666669</v>
      </c>
      <c r="E43" s="8">
        <f>_xlfn.STDEV.S(raw!AK2:AK49)</f>
        <v>9.6672679444709253</v>
      </c>
    </row>
    <row r="44" spans="1:5" x14ac:dyDescent="0.25">
      <c r="A44" s="4" t="s">
        <v>47</v>
      </c>
      <c r="B44" s="9"/>
      <c r="C44" s="10">
        <f>SUM(raw!AG2:AK56)</f>
        <v>8737.0549999999985</v>
      </c>
      <c r="D44" s="10">
        <f>AVERAGE(raw!AG2:AK56)</f>
        <v>41.804090909090903</v>
      </c>
      <c r="E44" s="11">
        <f>_xlfn.STDEV.S(raw!AG2:AK56)</f>
        <v>13.553681508682807</v>
      </c>
    </row>
    <row r="45" spans="1:5" x14ac:dyDescent="0.25">
      <c r="A45" s="3" t="s">
        <v>48</v>
      </c>
      <c r="B45" s="6"/>
      <c r="C45">
        <f>SUM(raw!AL2:AL42)</f>
        <v>2672.7079999999992</v>
      </c>
      <c r="D45">
        <f>AVERAGE(raw!AL2:AL42)</f>
        <v>65.187999999999974</v>
      </c>
      <c r="E45" s="8">
        <f>_xlfn.STDEV.S(raw!AL2:AL42)</f>
        <v>11.997774543639402</v>
      </c>
    </row>
    <row r="46" spans="1:5" x14ac:dyDescent="0.25">
      <c r="A46" s="3" t="s">
        <v>49</v>
      </c>
      <c r="B46" s="6"/>
      <c r="C46">
        <f>SUM(raw!AM2:AM7)</f>
        <v>184.94900000000001</v>
      </c>
      <c r="D46">
        <f>AVERAGE(raw!AM2:AM7)</f>
        <v>30.824833333333334</v>
      </c>
      <c r="E46" s="8">
        <f>_xlfn.STDEV.S(raw!AM2:AM7)</f>
        <v>11.082037347287111</v>
      </c>
    </row>
    <row r="47" spans="1:5" x14ac:dyDescent="0.25">
      <c r="A47" s="3" t="s">
        <v>50</v>
      </c>
      <c r="B47" s="6"/>
      <c r="C47">
        <f>SUM(raw!AN2:AN33)</f>
        <v>2184.09</v>
      </c>
      <c r="D47">
        <f>AVERAGE(raw!AN2:AN33)</f>
        <v>68.252812500000005</v>
      </c>
      <c r="E47" s="8">
        <f>_xlfn.STDEV.S(raw!AN2:AN33)</f>
        <v>16.496543261441541</v>
      </c>
    </row>
    <row r="48" spans="1:5" x14ac:dyDescent="0.25">
      <c r="A48" s="3" t="s">
        <v>51</v>
      </c>
      <c r="B48" s="6"/>
      <c r="C48">
        <f>SUM(raw!AO2:AO13)</f>
        <v>583.827</v>
      </c>
      <c r="D48">
        <f>AVERAGE(raw!AO2:AO13)</f>
        <v>48.652250000000002</v>
      </c>
      <c r="E48" s="8">
        <f>_xlfn.STDEV.S(raw!AO2:AO13)</f>
        <v>10.370638563007844</v>
      </c>
    </row>
    <row r="49" spans="1:5" x14ac:dyDescent="0.25">
      <c r="A49" s="3" t="s">
        <v>52</v>
      </c>
      <c r="B49" s="6"/>
      <c r="C49">
        <f>SUM(raw!AP2:AP5)</f>
        <v>104.142</v>
      </c>
      <c r="D49">
        <f>AVERAGE(raw!AP2:AP5)</f>
        <v>26.035499999999999</v>
      </c>
      <c r="E49" s="8">
        <f>_xlfn.STDEV.S(raw!AP2:AP5)</f>
        <v>2.208702560328121</v>
      </c>
    </row>
    <row r="50" spans="1:5" x14ac:dyDescent="0.25">
      <c r="A50" s="4" t="s">
        <v>53</v>
      </c>
      <c r="B50" s="9"/>
      <c r="C50" s="10">
        <f>SUM(raw!AL2:AP42)</f>
        <v>5729.7160000000013</v>
      </c>
      <c r="D50" s="10">
        <f>AVERAGE(raw!AL2:AP42)</f>
        <v>60.31280000000001</v>
      </c>
      <c r="E50" s="11">
        <f>_xlfn.STDEV.S(raw!AL2:AP42)</f>
        <v>18.026661645368371</v>
      </c>
    </row>
    <row r="52" spans="1:5" x14ac:dyDescent="0.25">
      <c r="A52">
        <f>D8</f>
        <v>59.611146443514663</v>
      </c>
      <c r="B52">
        <f>E8</f>
        <v>33.348879192099076</v>
      </c>
    </row>
    <row r="53" spans="1:5" x14ac:dyDescent="0.25">
      <c r="A53">
        <f>D14</f>
        <v>32.930313253012031</v>
      </c>
      <c r="B53">
        <f>E14</f>
        <v>16.211780330551097</v>
      </c>
    </row>
    <row r="54" spans="1:5" x14ac:dyDescent="0.25">
      <c r="A54">
        <f>D20</f>
        <v>25.747646017699115</v>
      </c>
      <c r="B54">
        <f>E20</f>
        <v>7.8720815010575391</v>
      </c>
    </row>
    <row r="55" spans="1:5" x14ac:dyDescent="0.25">
      <c r="A55">
        <f>D26</f>
        <v>43.71112831858408</v>
      </c>
      <c r="B55">
        <f>E26</f>
        <v>22.101025843388513</v>
      </c>
    </row>
    <row r="56" spans="1:5" x14ac:dyDescent="0.25">
      <c r="A56">
        <f>D32</f>
        <v>55.544684210526306</v>
      </c>
      <c r="B56">
        <f>E32</f>
        <v>26.34386239926593</v>
      </c>
    </row>
    <row r="57" spans="1:5" x14ac:dyDescent="0.25">
      <c r="A57">
        <f>D38</f>
        <v>42.285458937198058</v>
      </c>
      <c r="B57">
        <f>E38</f>
        <v>13.643183591154509</v>
      </c>
    </row>
    <row r="58" spans="1:5" x14ac:dyDescent="0.25">
      <c r="A58">
        <f>D44</f>
        <v>41.804090909090903</v>
      </c>
      <c r="B58">
        <f>E44</f>
        <v>13.553681508682807</v>
      </c>
    </row>
    <row r="59" spans="1:5" x14ac:dyDescent="0.25">
      <c r="A59">
        <f>D50</f>
        <v>60.31280000000001</v>
      </c>
      <c r="B59">
        <f>E50</f>
        <v>18.026661645368371</v>
      </c>
    </row>
  </sheetData>
  <mergeCells count="3">
    <mergeCell ref="A1:A2"/>
    <mergeCell ref="C1:E1"/>
    <mergeCell ref="B1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FD2C-EE70-432D-8397-D657BD188DB4}">
  <dimension ref="A1:G20"/>
  <sheetViews>
    <sheetView workbookViewId="0">
      <selection activeCell="C14" sqref="C14"/>
    </sheetView>
  </sheetViews>
  <sheetFormatPr defaultRowHeight="15" x14ac:dyDescent="0.25"/>
  <cols>
    <col min="1" max="1" width="26.28515625" customWidth="1"/>
  </cols>
  <sheetData>
    <row r="1" spans="1:7" x14ac:dyDescent="0.25">
      <c r="A1" t="s">
        <v>59</v>
      </c>
    </row>
    <row r="3" spans="1:7" ht="15.75" thickBot="1" x14ac:dyDescent="0.3">
      <c r="A3" t="s">
        <v>60</v>
      </c>
    </row>
    <row r="4" spans="1:7" x14ac:dyDescent="0.25">
      <c r="A4" s="13" t="s">
        <v>61</v>
      </c>
      <c r="B4" s="13" t="s">
        <v>62</v>
      </c>
      <c r="C4" s="13" t="s">
        <v>63</v>
      </c>
      <c r="D4" s="13" t="s">
        <v>64</v>
      </c>
      <c r="E4" s="13" t="s">
        <v>65</v>
      </c>
      <c r="F4" s="13" t="s">
        <v>4</v>
      </c>
    </row>
    <row r="5" spans="1:7" x14ac:dyDescent="0.25">
      <c r="A5" t="s">
        <v>11</v>
      </c>
      <c r="B5">
        <v>239</v>
      </c>
      <c r="C5">
        <v>14247.064000000006</v>
      </c>
      <c r="D5">
        <v>59.61114644351467</v>
      </c>
      <c r="E5">
        <v>1112.1477433692173</v>
      </c>
      <c r="F5">
        <f t="shared" ref="F5:F12" si="0">SQRT(E5)</f>
        <v>33.348879192099055</v>
      </c>
    </row>
    <row r="6" spans="1:7" x14ac:dyDescent="0.25">
      <c r="A6" t="s">
        <v>17</v>
      </c>
      <c r="B6">
        <v>83</v>
      </c>
      <c r="C6">
        <v>2733.2159999999994</v>
      </c>
      <c r="D6">
        <v>32.930313253012038</v>
      </c>
      <c r="E6">
        <v>262.82182148604215</v>
      </c>
      <c r="F6">
        <f t="shared" si="0"/>
        <v>16.211780330551058</v>
      </c>
    </row>
    <row r="7" spans="1:7" x14ac:dyDescent="0.25">
      <c r="A7" t="s">
        <v>23</v>
      </c>
      <c r="B7">
        <v>113</v>
      </c>
      <c r="C7">
        <v>2909.4840000000013</v>
      </c>
      <c r="D7">
        <v>25.747646017699125</v>
      </c>
      <c r="E7">
        <v>61.969667159291802</v>
      </c>
      <c r="F7">
        <f t="shared" si="0"/>
        <v>7.8720815010575063</v>
      </c>
    </row>
    <row r="8" spans="1:7" x14ac:dyDescent="0.25">
      <c r="A8" t="s">
        <v>29</v>
      </c>
      <c r="B8">
        <v>226</v>
      </c>
      <c r="C8">
        <v>9878.7150000000001</v>
      </c>
      <c r="D8">
        <v>43.711128318584073</v>
      </c>
      <c r="E8">
        <v>488.4553433301287</v>
      </c>
      <c r="F8">
        <f t="shared" si="0"/>
        <v>22.101025843388552</v>
      </c>
    </row>
    <row r="9" spans="1:7" x14ac:dyDescent="0.25">
      <c r="A9" t="s">
        <v>35</v>
      </c>
      <c r="B9">
        <v>171</v>
      </c>
      <c r="C9">
        <v>9498.1409999999996</v>
      </c>
      <c r="D9">
        <v>55.544684210526313</v>
      </c>
      <c r="E9">
        <v>693.99908611145463</v>
      </c>
      <c r="F9">
        <f t="shared" si="0"/>
        <v>26.34386239926588</v>
      </c>
    </row>
    <row r="10" spans="1:7" x14ac:dyDescent="0.25">
      <c r="A10" t="s">
        <v>41</v>
      </c>
      <c r="B10">
        <v>207</v>
      </c>
      <c r="C10">
        <v>8753.0899999999965</v>
      </c>
      <c r="D10">
        <v>42.285458937198051</v>
      </c>
      <c r="E10">
        <v>186.13645850194706</v>
      </c>
      <c r="F10">
        <f t="shared" si="0"/>
        <v>13.643183591154488</v>
      </c>
    </row>
    <row r="11" spans="1:7" x14ac:dyDescent="0.25">
      <c r="A11" t="s">
        <v>47</v>
      </c>
      <c r="B11">
        <v>209</v>
      </c>
      <c r="C11">
        <v>8737.0549999999985</v>
      </c>
      <c r="D11">
        <v>41.804090909090903</v>
      </c>
      <c r="E11">
        <v>183.70228243881195</v>
      </c>
      <c r="F11">
        <f t="shared" si="0"/>
        <v>13.553681508682869</v>
      </c>
    </row>
    <row r="12" spans="1:7" ht="15.75" thickBot="1" x14ac:dyDescent="0.3">
      <c r="A12" s="12" t="s">
        <v>53</v>
      </c>
      <c r="B12" s="12">
        <v>95</v>
      </c>
      <c r="C12" s="12">
        <v>5729.7159999999985</v>
      </c>
      <c r="D12" s="12">
        <v>60.312799999999982</v>
      </c>
      <c r="E12" s="12">
        <v>324.96053007659765</v>
      </c>
      <c r="F12" s="12">
        <f t="shared" si="0"/>
        <v>18.026661645368442</v>
      </c>
    </row>
    <row r="15" spans="1:7" ht="15.75" thickBot="1" x14ac:dyDescent="0.3">
      <c r="A15" t="s">
        <v>66</v>
      </c>
    </row>
    <row r="16" spans="1:7" x14ac:dyDescent="0.25">
      <c r="A16" s="13" t="s">
        <v>67</v>
      </c>
      <c r="B16" s="13" t="s">
        <v>68</v>
      </c>
      <c r="C16" s="13" t="s">
        <v>69</v>
      </c>
      <c r="D16" s="13" t="s">
        <v>70</v>
      </c>
      <c r="E16" s="13" t="s">
        <v>71</v>
      </c>
      <c r="F16" s="13" t="s">
        <v>72</v>
      </c>
      <c r="G16" s="13" t="s">
        <v>73</v>
      </c>
    </row>
    <row r="17" spans="1:7" x14ac:dyDescent="0.25">
      <c r="A17" t="s">
        <v>74</v>
      </c>
      <c r="B17">
        <v>147189.14622632763</v>
      </c>
      <c r="C17">
        <v>7</v>
      </c>
      <c r="D17">
        <v>21027.020889475378</v>
      </c>
      <c r="E17">
        <v>44.687353586816478</v>
      </c>
      <c r="F17">
        <v>5.2269402193886758E-57</v>
      </c>
      <c r="G17">
        <v>2.0164259441743662</v>
      </c>
    </row>
    <row r="18" spans="1:7" x14ac:dyDescent="0.25">
      <c r="A18" t="s">
        <v>75</v>
      </c>
      <c r="B18">
        <v>628165.92691967043</v>
      </c>
      <c r="C18">
        <v>1335</v>
      </c>
      <c r="D18">
        <v>470.53627484619506</v>
      </c>
    </row>
    <row r="20" spans="1:7" ht="15.75" thickBot="1" x14ac:dyDescent="0.3">
      <c r="A20" s="12" t="s">
        <v>76</v>
      </c>
      <c r="B20" s="12">
        <v>775355.07314599806</v>
      </c>
      <c r="C20" s="12">
        <v>1342</v>
      </c>
      <c r="D20" s="12"/>
      <c r="E20" s="12"/>
      <c r="F20" s="12"/>
      <c r="G2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0951-8E95-49F8-B97B-8CD3F09FFB64}">
  <dimension ref="A1:F29"/>
  <sheetViews>
    <sheetView workbookViewId="0">
      <selection activeCell="A30" sqref="A30"/>
    </sheetView>
  </sheetViews>
  <sheetFormatPr defaultRowHeight="15" x14ac:dyDescent="0.25"/>
  <cols>
    <col min="1" max="2" width="9.140625" customWidth="1"/>
  </cols>
  <sheetData>
    <row r="1" spans="1:6" x14ac:dyDescent="0.25">
      <c r="A1" s="1" t="s">
        <v>78</v>
      </c>
      <c r="B1" s="1" t="s">
        <v>79</v>
      </c>
      <c r="C1" s="1" t="s">
        <v>77</v>
      </c>
      <c r="D1" s="1" t="s">
        <v>80</v>
      </c>
      <c r="E1" s="1" t="s">
        <v>81</v>
      </c>
      <c r="F1" s="1" t="s">
        <v>82</v>
      </c>
    </row>
    <row r="2" spans="1:6" x14ac:dyDescent="0.25">
      <c r="A2" t="s">
        <v>11</v>
      </c>
      <c r="B2" t="s">
        <v>17</v>
      </c>
      <c r="C2">
        <v>26.680833</v>
      </c>
      <c r="D2">
        <v>0</v>
      </c>
      <c r="E2">
        <v>18.291112999999999</v>
      </c>
      <c r="F2">
        <v>35.070552999999997</v>
      </c>
    </row>
    <row r="3" spans="1:6" x14ac:dyDescent="0.25">
      <c r="A3" t="s">
        <v>11</v>
      </c>
      <c r="B3" t="s">
        <v>23</v>
      </c>
      <c r="C3">
        <v>33.863500000000002</v>
      </c>
      <c r="D3">
        <v>0</v>
      </c>
      <c r="E3">
        <v>26.345701999999999</v>
      </c>
      <c r="F3">
        <v>41.381298999999999</v>
      </c>
    </row>
    <row r="4" spans="1:6" x14ac:dyDescent="0.25">
      <c r="A4" t="s">
        <v>11</v>
      </c>
      <c r="B4" t="s">
        <v>29</v>
      </c>
      <c r="C4">
        <v>15.900017999999999</v>
      </c>
      <c r="D4">
        <v>0</v>
      </c>
      <c r="E4">
        <v>9.7901640000000008</v>
      </c>
      <c r="F4">
        <v>22.009872000000001</v>
      </c>
    </row>
    <row r="5" spans="1:6" x14ac:dyDescent="0.25">
      <c r="A5" t="s">
        <v>11</v>
      </c>
      <c r="B5" t="s">
        <v>35</v>
      </c>
      <c r="C5">
        <v>4.0664619999999996</v>
      </c>
      <c r="D5">
        <v>0.57077500000000003</v>
      </c>
      <c r="E5">
        <v>-2.5291100000000002</v>
      </c>
      <c r="F5">
        <v>10.662034</v>
      </c>
    </row>
    <row r="6" spans="1:6" x14ac:dyDescent="0.25">
      <c r="A6" t="s">
        <v>11</v>
      </c>
      <c r="B6" t="s">
        <v>41</v>
      </c>
      <c r="C6">
        <v>17.325688</v>
      </c>
      <c r="D6">
        <v>0</v>
      </c>
      <c r="E6">
        <v>11.073373</v>
      </c>
      <c r="F6">
        <v>23.578002000000001</v>
      </c>
    </row>
    <row r="7" spans="1:6" x14ac:dyDescent="0.25">
      <c r="A7" t="s">
        <v>11</v>
      </c>
      <c r="B7" t="s">
        <v>47</v>
      </c>
      <c r="C7">
        <v>17.807055999999999</v>
      </c>
      <c r="D7">
        <v>0</v>
      </c>
      <c r="E7">
        <v>11.570792000000001</v>
      </c>
      <c r="F7">
        <v>24.043319</v>
      </c>
    </row>
    <row r="8" spans="1:6" x14ac:dyDescent="0.25">
      <c r="A8" s="14" t="s">
        <v>11</v>
      </c>
      <c r="B8" s="14" t="s">
        <v>53</v>
      </c>
      <c r="C8" s="14">
        <v>-0.701654</v>
      </c>
      <c r="D8" s="14">
        <v>0.99999499999999997</v>
      </c>
      <c r="E8" s="14">
        <v>-8.688402</v>
      </c>
      <c r="F8" s="14">
        <v>7.2850950000000001</v>
      </c>
    </row>
    <row r="9" spans="1:6" x14ac:dyDescent="0.25">
      <c r="A9" t="s">
        <v>17</v>
      </c>
      <c r="B9" t="s">
        <v>23</v>
      </c>
      <c r="C9">
        <v>7.1826670000000004</v>
      </c>
      <c r="D9">
        <v>0.29947200000000002</v>
      </c>
      <c r="E9">
        <v>-2.3366829999999998</v>
      </c>
      <c r="F9">
        <v>16.702017000000001</v>
      </c>
    </row>
    <row r="10" spans="1:6" x14ac:dyDescent="0.25">
      <c r="A10" t="s">
        <v>17</v>
      </c>
      <c r="B10" t="s">
        <v>29</v>
      </c>
      <c r="C10">
        <v>-10.780815</v>
      </c>
      <c r="D10">
        <v>2.8470000000000001E-3</v>
      </c>
      <c r="E10">
        <v>-19.232503999999999</v>
      </c>
      <c r="F10">
        <v>-2.329126</v>
      </c>
    </row>
    <row r="11" spans="1:6" x14ac:dyDescent="0.25">
      <c r="A11" t="s">
        <v>17</v>
      </c>
      <c r="B11" t="s">
        <v>35</v>
      </c>
      <c r="C11">
        <v>-22.614370999999998</v>
      </c>
      <c r="D11">
        <v>0</v>
      </c>
      <c r="E11">
        <v>-31.423587999999999</v>
      </c>
      <c r="F11">
        <v>-13.805154</v>
      </c>
    </row>
    <row r="12" spans="1:6" x14ac:dyDescent="0.25">
      <c r="A12" t="s">
        <v>17</v>
      </c>
      <c r="B12" t="s">
        <v>41</v>
      </c>
      <c r="C12">
        <v>-9.3551459999999995</v>
      </c>
      <c r="D12">
        <v>2.0777E-2</v>
      </c>
      <c r="E12">
        <v>-17.910388000000001</v>
      </c>
      <c r="F12">
        <v>-0.79990300000000003</v>
      </c>
    </row>
    <row r="13" spans="1:6" x14ac:dyDescent="0.25">
      <c r="A13" t="s">
        <v>17</v>
      </c>
      <c r="B13" t="s">
        <v>47</v>
      </c>
      <c r="C13">
        <v>-8.8737779999999997</v>
      </c>
      <c r="D13">
        <v>3.5207000000000002E-2</v>
      </c>
      <c r="E13">
        <v>-17.417296</v>
      </c>
      <c r="F13">
        <v>-0.33025900000000002</v>
      </c>
    </row>
    <row r="14" spans="1:6" x14ac:dyDescent="0.25">
      <c r="A14" s="14" t="s">
        <v>17</v>
      </c>
      <c r="B14" s="14" t="s">
        <v>53</v>
      </c>
      <c r="C14" s="14">
        <v>-27.382487000000001</v>
      </c>
      <c r="D14" s="14">
        <v>0</v>
      </c>
      <c r="E14" s="14">
        <v>-37.276367999999998</v>
      </c>
      <c r="F14" s="14">
        <v>-17.488606000000001</v>
      </c>
    </row>
    <row r="15" spans="1:6" x14ac:dyDescent="0.25">
      <c r="A15" t="s">
        <v>23</v>
      </c>
      <c r="B15" t="s">
        <v>29</v>
      </c>
      <c r="C15">
        <v>-17.963481999999999</v>
      </c>
      <c r="D15">
        <v>0</v>
      </c>
      <c r="E15">
        <v>-25.550374999999999</v>
      </c>
      <c r="F15">
        <v>-10.37659</v>
      </c>
    </row>
    <row r="16" spans="1:6" x14ac:dyDescent="0.25">
      <c r="A16" t="s">
        <v>23</v>
      </c>
      <c r="B16" t="s">
        <v>35</v>
      </c>
      <c r="C16">
        <v>-29.797038000000001</v>
      </c>
      <c r="D16">
        <v>0</v>
      </c>
      <c r="E16">
        <v>-37.780282999999997</v>
      </c>
      <c r="F16">
        <v>-21.813794000000001</v>
      </c>
    </row>
    <row r="17" spans="1:6" x14ac:dyDescent="0.25">
      <c r="A17" t="s">
        <v>23</v>
      </c>
      <c r="B17" t="s">
        <v>41</v>
      </c>
      <c r="C17">
        <v>-16.537813</v>
      </c>
      <c r="D17">
        <v>0</v>
      </c>
      <c r="E17">
        <v>-24.239895000000001</v>
      </c>
      <c r="F17">
        <v>-8.8357309999999991</v>
      </c>
    </row>
    <row r="18" spans="1:6" x14ac:dyDescent="0.25">
      <c r="A18" t="s">
        <v>23</v>
      </c>
      <c r="B18" t="s">
        <v>29</v>
      </c>
      <c r="C18">
        <v>-16.056445</v>
      </c>
      <c r="D18">
        <v>0</v>
      </c>
      <c r="E18">
        <v>-23.745501999999998</v>
      </c>
      <c r="F18">
        <v>-8.3673870000000008</v>
      </c>
    </row>
    <row r="19" spans="1:6" x14ac:dyDescent="0.25">
      <c r="A19" s="14" t="s">
        <v>23</v>
      </c>
      <c r="B19" s="14" t="s">
        <v>53</v>
      </c>
      <c r="C19" s="14">
        <v>-34.565154</v>
      </c>
      <c r="D19" s="14">
        <v>0</v>
      </c>
      <c r="E19" s="14">
        <v>-43.73133</v>
      </c>
      <c r="F19" s="14">
        <v>-25.398978</v>
      </c>
    </row>
    <row r="20" spans="1:6" x14ac:dyDescent="0.25">
      <c r="A20" t="s">
        <v>29</v>
      </c>
      <c r="B20" t="s">
        <v>35</v>
      </c>
      <c r="C20">
        <v>-11.833556</v>
      </c>
      <c r="D20">
        <v>1.9999999999999999E-6</v>
      </c>
      <c r="E20">
        <v>-18.507776</v>
      </c>
      <c r="F20">
        <v>-5.1593359999999997</v>
      </c>
    </row>
    <row r="21" spans="1:6" x14ac:dyDescent="0.25">
      <c r="A21" t="s">
        <v>29</v>
      </c>
      <c r="B21" t="s">
        <v>41</v>
      </c>
      <c r="C21">
        <v>1.4256690000000001</v>
      </c>
      <c r="D21">
        <v>0.99743099999999996</v>
      </c>
      <c r="E21">
        <v>-4.9095560000000003</v>
      </c>
      <c r="F21">
        <v>7.7608949999999997</v>
      </c>
    </row>
    <row r="22" spans="1:6" x14ac:dyDescent="0.25">
      <c r="A22" t="s">
        <v>29</v>
      </c>
      <c r="B22" t="s">
        <v>47</v>
      </c>
      <c r="C22">
        <v>1.9070370000000001</v>
      </c>
      <c r="D22">
        <v>0.98457099999999997</v>
      </c>
      <c r="E22">
        <v>-4.4123469999999996</v>
      </c>
      <c r="F22">
        <v>8.2264219999999995</v>
      </c>
    </row>
    <row r="23" spans="1:6" x14ac:dyDescent="0.25">
      <c r="A23" s="14" t="s">
        <v>29</v>
      </c>
      <c r="B23" s="14" t="s">
        <v>53</v>
      </c>
      <c r="C23" s="14">
        <v>-16.601672000000001</v>
      </c>
      <c r="D23" s="14">
        <v>0</v>
      </c>
      <c r="E23" s="14">
        <v>-24.653490999999999</v>
      </c>
      <c r="F23" s="14">
        <v>-8.5498519999999996</v>
      </c>
    </row>
    <row r="24" spans="1:6" x14ac:dyDescent="0.25">
      <c r="A24" t="s">
        <v>35</v>
      </c>
      <c r="B24" t="s">
        <v>41</v>
      </c>
      <c r="C24">
        <v>13.259225000000001</v>
      </c>
      <c r="D24">
        <v>0</v>
      </c>
      <c r="E24">
        <v>6.4543489999999997</v>
      </c>
      <c r="F24">
        <v>20.064101000000001</v>
      </c>
    </row>
    <row r="25" spans="1:6" x14ac:dyDescent="0.25">
      <c r="A25" t="s">
        <v>35</v>
      </c>
      <c r="B25" t="s">
        <v>47</v>
      </c>
      <c r="C25">
        <v>13.740593000000001</v>
      </c>
      <c r="D25">
        <v>0</v>
      </c>
      <c r="E25">
        <v>6.9504630000000001</v>
      </c>
      <c r="F25">
        <v>20.530723999999999</v>
      </c>
    </row>
    <row r="26" spans="1:6" x14ac:dyDescent="0.25">
      <c r="A26" s="14" t="s">
        <v>35</v>
      </c>
      <c r="B26" s="14" t="s">
        <v>53</v>
      </c>
      <c r="C26" s="14">
        <v>-4.768116</v>
      </c>
      <c r="D26" s="14">
        <v>0.67564199999999996</v>
      </c>
      <c r="E26" s="14">
        <v>-13.194445999999999</v>
      </c>
      <c r="F26" s="14">
        <v>3.6582150000000002</v>
      </c>
    </row>
    <row r="27" spans="1:6" x14ac:dyDescent="0.25">
      <c r="A27" t="s">
        <v>41</v>
      </c>
      <c r="B27" t="s">
        <v>47</v>
      </c>
      <c r="C27">
        <v>0.48136800000000002</v>
      </c>
      <c r="D27">
        <v>0.99999800000000005</v>
      </c>
      <c r="E27">
        <v>-5.9758560000000003</v>
      </c>
      <c r="F27">
        <v>6.9385919999999999</v>
      </c>
    </row>
    <row r="28" spans="1:6" x14ac:dyDescent="0.25">
      <c r="A28" s="14" t="s">
        <v>41</v>
      </c>
      <c r="B28" s="14" t="s">
        <v>53</v>
      </c>
      <c r="C28" s="14">
        <v>-18.027341</v>
      </c>
      <c r="D28" s="14">
        <v>0</v>
      </c>
      <c r="E28" s="14">
        <v>-26.18779</v>
      </c>
      <c r="F28" s="14">
        <v>-9.8668929999999992</v>
      </c>
    </row>
    <row r="29" spans="1:6" x14ac:dyDescent="0.25">
      <c r="A29" t="s">
        <v>47</v>
      </c>
      <c r="B29" t="s">
        <v>53</v>
      </c>
      <c r="C29">
        <v>-18.508709</v>
      </c>
      <c r="D29">
        <v>0</v>
      </c>
      <c r="E29">
        <v>-26.656866000000001</v>
      </c>
      <c r="F29">
        <v>-10.360552</v>
      </c>
    </row>
  </sheetData>
  <phoneticPr fontId="3" type="noConversion"/>
  <conditionalFormatting sqref="D2:D29">
    <cfRule type="cellIs" dxfId="1" priority="1" operator="between">
      <formula>0.49</formula>
      <formula>0.51</formula>
    </cfRule>
    <cfRule type="cellIs" dxfId="0" priority="2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A2FEB-CEE0-4EB5-8FDD-7CEC64C31719}">
  <dimension ref="A1:AP69"/>
  <sheetViews>
    <sheetView workbookViewId="0">
      <selection activeCell="G14" sqref="G14"/>
    </sheetView>
  </sheetViews>
  <sheetFormatPr defaultRowHeight="15" x14ac:dyDescent="0.25"/>
  <sheetData>
    <row r="1" spans="1:42" x14ac:dyDescent="0.25">
      <c r="A1" s="1" t="s">
        <v>54</v>
      </c>
      <c r="B1" s="1" t="s">
        <v>54</v>
      </c>
      <c r="C1" s="1" t="s">
        <v>55</v>
      </c>
      <c r="D1" s="1" t="s">
        <v>56</v>
      </c>
      <c r="E1" s="1" t="s">
        <v>56</v>
      </c>
      <c r="F1" s="1" t="s">
        <v>57</v>
      </c>
      <c r="G1" s="1" t="s">
        <v>58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</row>
    <row r="2" spans="1:42" x14ac:dyDescent="0.25">
      <c r="A2">
        <v>78.174999999999997</v>
      </c>
      <c r="B2">
        <v>68.489999999999995</v>
      </c>
      <c r="C2">
        <v>49</v>
      </c>
      <c r="D2">
        <v>70.775000000000006</v>
      </c>
      <c r="E2">
        <v>118.08</v>
      </c>
      <c r="F2">
        <v>22.399000000000001</v>
      </c>
      <c r="G2">
        <v>9.14</v>
      </c>
      <c r="H2">
        <v>29.988</v>
      </c>
      <c r="I2">
        <v>44.649000000000001</v>
      </c>
      <c r="J2">
        <v>41.226999999999997</v>
      </c>
      <c r="K2">
        <v>101.623</v>
      </c>
      <c r="L2">
        <v>35.271999999999998</v>
      </c>
      <c r="M2">
        <v>36.055999999999997</v>
      </c>
      <c r="N2">
        <v>29.975999999999999</v>
      </c>
      <c r="O2">
        <v>31.925000000000001</v>
      </c>
      <c r="P2">
        <v>12.792</v>
      </c>
      <c r="Q2">
        <v>2.266</v>
      </c>
      <c r="R2">
        <v>30.332999999999998</v>
      </c>
      <c r="S2">
        <v>20.023</v>
      </c>
      <c r="T2">
        <v>27.552</v>
      </c>
      <c r="U2">
        <v>23.460999999999999</v>
      </c>
      <c r="V2">
        <v>60.747999999999998</v>
      </c>
      <c r="W2">
        <v>51.829000000000001</v>
      </c>
      <c r="X2">
        <v>54.075000000000003</v>
      </c>
      <c r="Y2">
        <v>35.496000000000002</v>
      </c>
      <c r="Z2">
        <v>17.16</v>
      </c>
      <c r="AA2">
        <v>67.456000000000003</v>
      </c>
      <c r="AB2">
        <v>46.957999999999998</v>
      </c>
      <c r="AC2">
        <v>21.952999999999999</v>
      </c>
      <c r="AD2">
        <v>60.32</v>
      </c>
      <c r="AE2">
        <v>53.805</v>
      </c>
      <c r="AF2">
        <v>30.158999999999999</v>
      </c>
      <c r="AG2">
        <v>43.337000000000003</v>
      </c>
      <c r="AH2">
        <v>21.216000000000001</v>
      </c>
      <c r="AI2">
        <v>65.602999999999994</v>
      </c>
      <c r="AJ2">
        <v>65.174999999999997</v>
      </c>
      <c r="AK2">
        <v>50.420999999999999</v>
      </c>
      <c r="AL2">
        <v>77.997</v>
      </c>
      <c r="AM2">
        <v>24.975999999999999</v>
      </c>
      <c r="AN2">
        <v>85.114000000000004</v>
      </c>
      <c r="AO2">
        <v>70.906000000000006</v>
      </c>
      <c r="AP2">
        <v>26.523</v>
      </c>
    </row>
    <row r="3" spans="1:42" x14ac:dyDescent="0.25">
      <c r="A3">
        <v>24.058</v>
      </c>
      <c r="B3">
        <v>88.605000000000004</v>
      </c>
      <c r="C3">
        <v>39.85</v>
      </c>
      <c r="D3">
        <v>115.518</v>
      </c>
      <c r="E3">
        <v>115.79300000000001</v>
      </c>
      <c r="F3">
        <v>13.6</v>
      </c>
      <c r="G3">
        <v>5.2530000000000001</v>
      </c>
      <c r="H3">
        <v>16.341999999999999</v>
      </c>
      <c r="I3">
        <v>62.332999999999998</v>
      </c>
      <c r="J3">
        <v>52.351999999999997</v>
      </c>
      <c r="K3">
        <v>91.856999999999999</v>
      </c>
      <c r="L3">
        <v>37.878999999999998</v>
      </c>
      <c r="M3">
        <v>30.661999999999999</v>
      </c>
      <c r="N3">
        <v>23.378</v>
      </c>
      <c r="O3">
        <v>31.306000000000001</v>
      </c>
      <c r="P3">
        <v>9.49</v>
      </c>
      <c r="Q3">
        <v>1.8640000000000001</v>
      </c>
      <c r="R3">
        <v>42.601999999999997</v>
      </c>
      <c r="S3">
        <v>15.076000000000001</v>
      </c>
      <c r="T3">
        <v>16.902999999999999</v>
      </c>
      <c r="U3">
        <v>30.466999999999999</v>
      </c>
      <c r="V3">
        <v>21.17</v>
      </c>
      <c r="W3">
        <v>45.027000000000001</v>
      </c>
      <c r="X3">
        <v>70.221999999999994</v>
      </c>
      <c r="Y3">
        <v>33.747</v>
      </c>
      <c r="Z3">
        <v>16.603999999999999</v>
      </c>
      <c r="AA3">
        <v>73.176000000000002</v>
      </c>
      <c r="AB3">
        <v>21.42</v>
      </c>
      <c r="AC3">
        <v>46.231999999999999</v>
      </c>
      <c r="AD3">
        <v>48.921999999999997</v>
      </c>
      <c r="AE3">
        <v>42.679000000000002</v>
      </c>
      <c r="AF3">
        <v>46.94</v>
      </c>
      <c r="AG3">
        <v>46.593000000000004</v>
      </c>
      <c r="AH3">
        <v>19.312999999999999</v>
      </c>
      <c r="AI3">
        <v>73.796999999999997</v>
      </c>
      <c r="AJ3">
        <v>54.375999999999998</v>
      </c>
      <c r="AK3">
        <v>66.757999999999996</v>
      </c>
      <c r="AL3">
        <v>65.287999999999997</v>
      </c>
      <c r="AM3">
        <v>47.45</v>
      </c>
      <c r="AN3">
        <v>111.114</v>
      </c>
      <c r="AO3">
        <v>41.356000000000002</v>
      </c>
      <c r="AP3">
        <v>28.713999999999999</v>
      </c>
    </row>
    <row r="4" spans="1:42" x14ac:dyDescent="0.25">
      <c r="A4">
        <v>66.756</v>
      </c>
      <c r="B4">
        <v>84.045000000000002</v>
      </c>
      <c r="C4">
        <v>36.255000000000003</v>
      </c>
      <c r="D4">
        <v>43.081000000000003</v>
      </c>
      <c r="E4">
        <v>125.447</v>
      </c>
      <c r="F4">
        <v>18.655999999999999</v>
      </c>
      <c r="G4">
        <v>9.8650000000000002</v>
      </c>
      <c r="H4">
        <v>18.495000000000001</v>
      </c>
      <c r="I4">
        <v>58.314999999999998</v>
      </c>
      <c r="J4">
        <v>60.86</v>
      </c>
      <c r="K4">
        <v>93.715000000000003</v>
      </c>
      <c r="M4">
        <v>30.524999999999999</v>
      </c>
      <c r="N4">
        <v>20.28</v>
      </c>
      <c r="O4">
        <v>53.06</v>
      </c>
      <c r="P4">
        <v>13.423999999999999</v>
      </c>
      <c r="R4">
        <v>36.658999999999999</v>
      </c>
      <c r="S4">
        <v>15.692</v>
      </c>
      <c r="T4">
        <v>23.574000000000002</v>
      </c>
      <c r="U4">
        <v>31.754000000000001</v>
      </c>
      <c r="V4">
        <v>43.222999999999999</v>
      </c>
      <c r="W4">
        <v>111.956</v>
      </c>
      <c r="X4">
        <v>57.796999999999997</v>
      </c>
      <c r="Y4">
        <v>24.62</v>
      </c>
      <c r="Z4">
        <v>15.57</v>
      </c>
      <c r="AA4">
        <v>73.323999999999998</v>
      </c>
      <c r="AB4">
        <v>23.053000000000001</v>
      </c>
      <c r="AC4">
        <v>24.286000000000001</v>
      </c>
      <c r="AD4">
        <v>45.645000000000003</v>
      </c>
      <c r="AE4">
        <v>47.598999999999997</v>
      </c>
      <c r="AF4">
        <v>36.881999999999998</v>
      </c>
      <c r="AG4">
        <v>30.843</v>
      </c>
      <c r="AH4">
        <v>20.751000000000001</v>
      </c>
      <c r="AI4">
        <v>44.421999999999997</v>
      </c>
      <c r="AJ4">
        <v>50.741999999999997</v>
      </c>
      <c r="AK4">
        <v>40.828000000000003</v>
      </c>
      <c r="AL4">
        <v>76.186000000000007</v>
      </c>
      <c r="AM4">
        <v>36.985999999999997</v>
      </c>
      <c r="AN4">
        <v>76.283000000000001</v>
      </c>
      <c r="AO4">
        <v>36.856999999999999</v>
      </c>
      <c r="AP4">
        <v>25.504000000000001</v>
      </c>
    </row>
    <row r="5" spans="1:42" x14ac:dyDescent="0.25">
      <c r="A5">
        <v>47.051000000000002</v>
      </c>
      <c r="B5">
        <v>83.944000000000003</v>
      </c>
      <c r="C5">
        <v>6.4550000000000001</v>
      </c>
      <c r="D5">
        <v>21.210999999999999</v>
      </c>
      <c r="E5">
        <v>130.25</v>
      </c>
      <c r="F5">
        <v>23.463999999999999</v>
      </c>
      <c r="G5">
        <v>12</v>
      </c>
      <c r="H5">
        <v>8.7430000000000003</v>
      </c>
      <c r="I5">
        <v>45.863</v>
      </c>
      <c r="J5">
        <v>30.231000000000002</v>
      </c>
      <c r="K5">
        <v>89.369</v>
      </c>
      <c r="M5">
        <v>35.35</v>
      </c>
      <c r="N5">
        <v>21.073</v>
      </c>
      <c r="O5">
        <v>55.143999999999998</v>
      </c>
      <c r="R5">
        <v>38.564</v>
      </c>
      <c r="S5">
        <v>12.452999999999999</v>
      </c>
      <c r="T5">
        <v>21.82</v>
      </c>
      <c r="U5">
        <v>28.33</v>
      </c>
      <c r="V5">
        <v>26.956</v>
      </c>
      <c r="W5">
        <v>58.713999999999999</v>
      </c>
      <c r="X5">
        <v>60.911999999999999</v>
      </c>
      <c r="Y5">
        <v>37.966000000000001</v>
      </c>
      <c r="Z5">
        <v>23.093</v>
      </c>
      <c r="AA5">
        <v>73.864999999999995</v>
      </c>
      <c r="AB5">
        <v>18.809999999999999</v>
      </c>
      <c r="AC5">
        <v>29.178999999999998</v>
      </c>
      <c r="AD5">
        <v>31.678000000000001</v>
      </c>
      <c r="AE5">
        <v>50.162999999999997</v>
      </c>
      <c r="AF5">
        <v>38.648000000000003</v>
      </c>
      <c r="AG5">
        <v>34.25</v>
      </c>
      <c r="AH5">
        <v>23.172000000000001</v>
      </c>
      <c r="AI5">
        <v>26.53</v>
      </c>
      <c r="AJ5">
        <v>39.656999999999996</v>
      </c>
      <c r="AK5">
        <v>50.694000000000003</v>
      </c>
      <c r="AL5">
        <v>74.938999999999993</v>
      </c>
      <c r="AM5">
        <v>19.471</v>
      </c>
      <c r="AN5">
        <v>66.978999999999999</v>
      </c>
      <c r="AO5">
        <v>39.713000000000001</v>
      </c>
      <c r="AP5">
        <v>23.401</v>
      </c>
    </row>
    <row r="6" spans="1:42" x14ac:dyDescent="0.25">
      <c r="A6">
        <v>61.942999999999998</v>
      </c>
      <c r="B6">
        <v>76.412000000000006</v>
      </c>
      <c r="C6">
        <v>45.43</v>
      </c>
      <c r="D6">
        <v>23.855</v>
      </c>
      <c r="E6">
        <v>75.116</v>
      </c>
      <c r="F6">
        <v>20.012</v>
      </c>
      <c r="G6">
        <v>7.5490000000000004</v>
      </c>
      <c r="H6">
        <v>48.781999999999996</v>
      </c>
      <c r="I6">
        <v>32.177999999999997</v>
      </c>
      <c r="J6">
        <v>72.230999999999995</v>
      </c>
      <c r="K6">
        <v>95.022999999999996</v>
      </c>
      <c r="M6">
        <v>22.125</v>
      </c>
      <c r="N6">
        <v>21.297000000000001</v>
      </c>
      <c r="O6">
        <v>73.085999999999999</v>
      </c>
      <c r="R6">
        <v>29.74</v>
      </c>
      <c r="S6">
        <v>12.622999999999999</v>
      </c>
      <c r="T6">
        <v>40.323</v>
      </c>
      <c r="U6">
        <v>20.277000000000001</v>
      </c>
      <c r="V6">
        <v>30.044</v>
      </c>
      <c r="W6">
        <v>29.315000000000001</v>
      </c>
      <c r="X6">
        <v>59.537999999999997</v>
      </c>
      <c r="Y6">
        <v>24.984000000000002</v>
      </c>
      <c r="Z6">
        <v>7.5039999999999996</v>
      </c>
      <c r="AA6">
        <v>66.837999999999994</v>
      </c>
      <c r="AB6">
        <v>15.141</v>
      </c>
      <c r="AC6">
        <v>42.45</v>
      </c>
      <c r="AD6">
        <v>55.110999999999997</v>
      </c>
      <c r="AE6">
        <v>49.628</v>
      </c>
      <c r="AF6">
        <v>54.481999999999999</v>
      </c>
      <c r="AG6">
        <v>42.048999999999999</v>
      </c>
      <c r="AH6">
        <v>26.977</v>
      </c>
      <c r="AI6">
        <v>42.386000000000003</v>
      </c>
      <c r="AJ6">
        <v>35.921999999999997</v>
      </c>
      <c r="AK6">
        <v>50.506999999999998</v>
      </c>
      <c r="AL6">
        <v>73.638999999999996</v>
      </c>
      <c r="AM6">
        <v>35.811</v>
      </c>
      <c r="AN6">
        <v>69.260000000000005</v>
      </c>
      <c r="AO6">
        <v>44.738</v>
      </c>
    </row>
    <row r="7" spans="1:42" x14ac:dyDescent="0.25">
      <c r="A7">
        <v>79.653999999999996</v>
      </c>
      <c r="B7">
        <v>78.290000000000006</v>
      </c>
      <c r="C7">
        <v>38.72</v>
      </c>
      <c r="D7">
        <v>34.610999999999997</v>
      </c>
      <c r="E7">
        <v>77.734999999999999</v>
      </c>
      <c r="F7">
        <v>8.3819999999999997</v>
      </c>
      <c r="G7">
        <v>10.054</v>
      </c>
      <c r="H7">
        <v>38.85</v>
      </c>
      <c r="I7">
        <v>37.603000000000002</v>
      </c>
      <c r="J7">
        <v>47.752000000000002</v>
      </c>
      <c r="K7">
        <v>108.164</v>
      </c>
      <c r="M7">
        <v>33.847000000000001</v>
      </c>
      <c r="N7">
        <v>18.544</v>
      </c>
      <c r="O7">
        <v>82.92</v>
      </c>
      <c r="R7">
        <v>31.245999999999999</v>
      </c>
      <c r="T7">
        <v>31.376000000000001</v>
      </c>
      <c r="U7">
        <v>29.577999999999999</v>
      </c>
      <c r="V7">
        <v>30.027000000000001</v>
      </c>
      <c r="W7">
        <v>100.855</v>
      </c>
      <c r="X7">
        <v>53.377000000000002</v>
      </c>
      <c r="Y7">
        <v>34.015999999999998</v>
      </c>
      <c r="Z7">
        <v>16.856999999999999</v>
      </c>
      <c r="AA7">
        <v>60.715000000000003</v>
      </c>
      <c r="AB7">
        <v>14.337999999999999</v>
      </c>
      <c r="AC7">
        <v>25.936</v>
      </c>
      <c r="AD7">
        <v>50.168999999999997</v>
      </c>
      <c r="AE7">
        <v>57.933</v>
      </c>
      <c r="AF7">
        <v>47.957999999999998</v>
      </c>
      <c r="AG7">
        <v>48.747999999999998</v>
      </c>
      <c r="AH7">
        <v>20.6</v>
      </c>
      <c r="AI7">
        <v>51.723999999999997</v>
      </c>
      <c r="AJ7">
        <v>55.231000000000002</v>
      </c>
      <c r="AK7">
        <v>41.53</v>
      </c>
      <c r="AL7">
        <v>57.164000000000001</v>
      </c>
      <c r="AM7">
        <v>20.254999999999999</v>
      </c>
      <c r="AN7">
        <v>86.201999999999998</v>
      </c>
      <c r="AO7">
        <v>56.732999999999997</v>
      </c>
    </row>
    <row r="8" spans="1:42" x14ac:dyDescent="0.25">
      <c r="A8">
        <v>84.751999999999995</v>
      </c>
      <c r="B8">
        <v>69.558000000000007</v>
      </c>
      <c r="C8">
        <v>33.975000000000001</v>
      </c>
      <c r="D8">
        <v>37.430999999999997</v>
      </c>
      <c r="E8">
        <v>94.445999999999998</v>
      </c>
      <c r="F8">
        <v>18.108000000000001</v>
      </c>
      <c r="G8">
        <v>4.827</v>
      </c>
      <c r="H8">
        <v>63.127000000000002</v>
      </c>
      <c r="I8">
        <v>45.636000000000003</v>
      </c>
      <c r="J8">
        <v>68.694000000000003</v>
      </c>
      <c r="K8">
        <v>103.053</v>
      </c>
      <c r="M8">
        <v>25.905000000000001</v>
      </c>
      <c r="N8">
        <v>25.172999999999998</v>
      </c>
      <c r="O8">
        <v>35.395000000000003</v>
      </c>
      <c r="R8">
        <v>31.673999999999999</v>
      </c>
      <c r="T8">
        <v>27.184000000000001</v>
      </c>
      <c r="U8">
        <v>35.429000000000002</v>
      </c>
      <c r="V8">
        <v>44.353000000000002</v>
      </c>
      <c r="W8">
        <v>128.387</v>
      </c>
      <c r="X8">
        <v>32.585000000000001</v>
      </c>
      <c r="Y8">
        <v>24.635000000000002</v>
      </c>
      <c r="Z8">
        <v>17.183</v>
      </c>
      <c r="AA8">
        <v>67.23</v>
      </c>
      <c r="AB8">
        <v>14.5</v>
      </c>
      <c r="AC8">
        <v>23.334</v>
      </c>
      <c r="AD8">
        <v>49.796999999999997</v>
      </c>
      <c r="AE8">
        <v>56.914999999999999</v>
      </c>
      <c r="AF8">
        <v>28.94</v>
      </c>
      <c r="AG8">
        <v>40.551000000000002</v>
      </c>
      <c r="AH8">
        <v>24.376000000000001</v>
      </c>
      <c r="AI8">
        <v>27.222000000000001</v>
      </c>
      <c r="AJ8">
        <v>52.027000000000001</v>
      </c>
      <c r="AK8">
        <v>51.404000000000003</v>
      </c>
      <c r="AL8">
        <v>90.866</v>
      </c>
      <c r="AN8">
        <v>82.352000000000004</v>
      </c>
      <c r="AO8">
        <v>47.965000000000003</v>
      </c>
    </row>
    <row r="9" spans="1:42" x14ac:dyDescent="0.25">
      <c r="A9">
        <v>27.727</v>
      </c>
      <c r="B9">
        <v>31.542000000000002</v>
      </c>
      <c r="C9">
        <v>6.0250000000000004</v>
      </c>
      <c r="D9">
        <v>42.124000000000002</v>
      </c>
      <c r="E9">
        <v>105.96599999999999</v>
      </c>
      <c r="F9">
        <v>12.022</v>
      </c>
      <c r="G9">
        <v>10.797000000000001</v>
      </c>
      <c r="H9">
        <v>46.057000000000002</v>
      </c>
      <c r="I9">
        <v>45.16</v>
      </c>
      <c r="J9">
        <v>31.181000000000001</v>
      </c>
      <c r="K9">
        <v>72.998000000000005</v>
      </c>
      <c r="M9">
        <v>22.38</v>
      </c>
      <c r="N9">
        <v>24.382000000000001</v>
      </c>
      <c r="O9">
        <v>53.959000000000003</v>
      </c>
      <c r="R9">
        <v>32.601999999999997</v>
      </c>
      <c r="T9">
        <v>36.338999999999999</v>
      </c>
      <c r="U9">
        <v>11.946999999999999</v>
      </c>
      <c r="V9">
        <v>24.701000000000001</v>
      </c>
      <c r="W9">
        <v>70.361000000000004</v>
      </c>
      <c r="X9">
        <v>36.707000000000001</v>
      </c>
      <c r="Y9">
        <v>22.995999999999999</v>
      </c>
      <c r="Z9">
        <v>21.93</v>
      </c>
      <c r="AA9">
        <v>81.596999999999994</v>
      </c>
      <c r="AB9">
        <v>4.282</v>
      </c>
      <c r="AC9">
        <v>34.75</v>
      </c>
      <c r="AD9">
        <v>57.424999999999997</v>
      </c>
      <c r="AE9">
        <v>49.582000000000001</v>
      </c>
      <c r="AF9">
        <v>25.152000000000001</v>
      </c>
      <c r="AG9">
        <v>21.605</v>
      </c>
      <c r="AH9">
        <v>21.384</v>
      </c>
      <c r="AI9">
        <v>41.587000000000003</v>
      </c>
      <c r="AJ9">
        <v>34.383000000000003</v>
      </c>
      <c r="AK9">
        <v>57.284999999999997</v>
      </c>
      <c r="AL9">
        <v>89.397000000000006</v>
      </c>
      <c r="AN9">
        <v>62.716000000000001</v>
      </c>
      <c r="AO9">
        <v>58.856999999999999</v>
      </c>
    </row>
    <row r="10" spans="1:42" x14ac:dyDescent="0.25">
      <c r="A10">
        <v>58.369</v>
      </c>
      <c r="B10">
        <v>83.204999999999998</v>
      </c>
      <c r="C10">
        <v>45.895000000000003</v>
      </c>
      <c r="D10">
        <v>32.540999999999997</v>
      </c>
      <c r="E10">
        <v>66.259</v>
      </c>
      <c r="F10">
        <v>9.8130000000000006</v>
      </c>
      <c r="G10">
        <v>12.426</v>
      </c>
      <c r="H10">
        <v>57.606000000000002</v>
      </c>
      <c r="I10">
        <v>41.115000000000002</v>
      </c>
      <c r="J10">
        <v>42.078000000000003</v>
      </c>
      <c r="K10">
        <v>54.148000000000003</v>
      </c>
      <c r="M10">
        <v>18.831</v>
      </c>
      <c r="N10">
        <v>23.995999999999999</v>
      </c>
      <c r="O10">
        <v>51.564999999999998</v>
      </c>
      <c r="R10">
        <v>27.198</v>
      </c>
      <c r="T10">
        <v>39.225000000000001</v>
      </c>
      <c r="U10">
        <v>17.38</v>
      </c>
      <c r="V10">
        <v>29.2</v>
      </c>
      <c r="W10">
        <v>106.227</v>
      </c>
      <c r="X10">
        <v>68.376000000000005</v>
      </c>
      <c r="Y10">
        <v>45.621000000000002</v>
      </c>
      <c r="AA10">
        <v>48.783999999999999</v>
      </c>
      <c r="AC10">
        <v>40.03</v>
      </c>
      <c r="AD10">
        <v>60.433999999999997</v>
      </c>
      <c r="AE10">
        <v>68.233999999999995</v>
      </c>
      <c r="AF10">
        <v>53.292999999999999</v>
      </c>
      <c r="AG10">
        <v>37.893000000000001</v>
      </c>
      <c r="AH10">
        <v>17.283000000000001</v>
      </c>
      <c r="AI10">
        <v>19.141999999999999</v>
      </c>
      <c r="AJ10">
        <v>44.84</v>
      </c>
      <c r="AK10">
        <v>56.387999999999998</v>
      </c>
      <c r="AL10">
        <v>58.762</v>
      </c>
      <c r="AN10">
        <v>83.236000000000004</v>
      </c>
      <c r="AO10">
        <v>48.188000000000002</v>
      </c>
    </row>
    <row r="11" spans="1:42" x14ac:dyDescent="0.25">
      <c r="A11">
        <v>69.724999999999994</v>
      </c>
      <c r="B11">
        <v>80.128</v>
      </c>
      <c r="C11">
        <v>19.065000000000001</v>
      </c>
      <c r="D11">
        <v>31.649000000000001</v>
      </c>
      <c r="E11">
        <v>84.777000000000001</v>
      </c>
      <c r="F11">
        <v>16.553000000000001</v>
      </c>
      <c r="G11">
        <v>5.9539999999999997</v>
      </c>
      <c r="H11">
        <v>33.491</v>
      </c>
      <c r="I11">
        <v>48.213999999999999</v>
      </c>
      <c r="J11">
        <v>26.584</v>
      </c>
      <c r="K11">
        <v>22.227</v>
      </c>
      <c r="M11">
        <v>18.141999999999999</v>
      </c>
      <c r="N11">
        <v>24.498000000000001</v>
      </c>
      <c r="O11">
        <v>51.722999999999999</v>
      </c>
      <c r="R11">
        <v>37.133000000000003</v>
      </c>
      <c r="T11">
        <v>15.315</v>
      </c>
      <c r="U11">
        <v>28.326000000000001</v>
      </c>
      <c r="V11">
        <v>39.662999999999997</v>
      </c>
      <c r="W11">
        <v>114</v>
      </c>
      <c r="X11">
        <v>76.911000000000001</v>
      </c>
      <c r="Y11">
        <v>19.893999999999998</v>
      </c>
      <c r="AA11">
        <v>86.471999999999994</v>
      </c>
      <c r="AC11">
        <v>35.365000000000002</v>
      </c>
      <c r="AD11">
        <v>74.322000000000003</v>
      </c>
      <c r="AE11">
        <v>65.97</v>
      </c>
      <c r="AF11">
        <v>50.87</v>
      </c>
      <c r="AG11">
        <v>50.524000000000001</v>
      </c>
      <c r="AH11">
        <v>19.574000000000002</v>
      </c>
      <c r="AI11">
        <v>31.826000000000001</v>
      </c>
      <c r="AJ11">
        <v>45.741</v>
      </c>
      <c r="AK11">
        <v>51.478999999999999</v>
      </c>
      <c r="AL11">
        <v>89.552999999999997</v>
      </c>
      <c r="AN11">
        <v>84.775000000000006</v>
      </c>
      <c r="AO11">
        <v>51.445999999999998</v>
      </c>
    </row>
    <row r="12" spans="1:42" x14ac:dyDescent="0.25">
      <c r="A12">
        <v>38.823</v>
      </c>
      <c r="B12">
        <v>65.822999999999993</v>
      </c>
      <c r="C12">
        <v>22.565000000000001</v>
      </c>
      <c r="D12">
        <v>32.643999999999998</v>
      </c>
      <c r="E12">
        <v>83.275999999999996</v>
      </c>
      <c r="F12">
        <v>8.1219999999999999</v>
      </c>
      <c r="G12">
        <v>14.544</v>
      </c>
      <c r="H12">
        <v>15.968999999999999</v>
      </c>
      <c r="I12">
        <v>32.484000000000002</v>
      </c>
      <c r="J12">
        <v>39.725999999999999</v>
      </c>
      <c r="K12">
        <v>50.008000000000003</v>
      </c>
      <c r="M12">
        <v>26.925999999999998</v>
      </c>
      <c r="N12">
        <v>18.539000000000001</v>
      </c>
      <c r="O12">
        <v>47.715000000000003</v>
      </c>
      <c r="R12">
        <v>19.091999999999999</v>
      </c>
      <c r="T12">
        <v>22.442</v>
      </c>
      <c r="U12">
        <v>19.125</v>
      </c>
      <c r="W12">
        <v>41.621000000000002</v>
      </c>
      <c r="X12">
        <v>65.819000000000003</v>
      </c>
      <c r="Y12">
        <v>23.952999999999999</v>
      </c>
      <c r="AA12">
        <v>74.569000000000003</v>
      </c>
      <c r="AC12">
        <v>29.291</v>
      </c>
      <c r="AD12">
        <v>47.494</v>
      </c>
      <c r="AE12">
        <v>57.030999999999999</v>
      </c>
      <c r="AF12">
        <v>41.207000000000001</v>
      </c>
      <c r="AG12">
        <v>20.401</v>
      </c>
      <c r="AH12">
        <v>17.492999999999999</v>
      </c>
      <c r="AI12">
        <v>55.210999999999999</v>
      </c>
      <c r="AJ12">
        <v>53.637</v>
      </c>
      <c r="AK12">
        <v>49.567999999999998</v>
      </c>
      <c r="AL12">
        <v>57.134999999999998</v>
      </c>
      <c r="AN12">
        <v>76.878</v>
      </c>
      <c r="AO12">
        <v>52.750999999999998</v>
      </c>
    </row>
    <row r="13" spans="1:42" x14ac:dyDescent="0.25">
      <c r="A13">
        <v>54.039000000000001</v>
      </c>
      <c r="B13">
        <v>57.783000000000001</v>
      </c>
      <c r="C13">
        <v>29.635000000000002</v>
      </c>
      <c r="D13">
        <v>99.052999999999997</v>
      </c>
      <c r="E13">
        <v>105.90300000000001</v>
      </c>
      <c r="F13">
        <v>25.152999999999999</v>
      </c>
      <c r="G13">
        <v>6.5170000000000003</v>
      </c>
      <c r="H13">
        <v>42.206000000000003</v>
      </c>
      <c r="I13">
        <v>35.289000000000001</v>
      </c>
      <c r="J13">
        <v>34.743000000000002</v>
      </c>
      <c r="K13">
        <v>47.274000000000001</v>
      </c>
      <c r="M13">
        <v>35.369999999999997</v>
      </c>
      <c r="N13">
        <v>16.609000000000002</v>
      </c>
      <c r="O13">
        <v>53.225000000000001</v>
      </c>
      <c r="R13">
        <v>19.277999999999999</v>
      </c>
      <c r="T13">
        <v>25.26</v>
      </c>
      <c r="U13">
        <v>14.304</v>
      </c>
      <c r="W13">
        <v>18.942</v>
      </c>
      <c r="X13">
        <v>35.756</v>
      </c>
      <c r="Y13">
        <v>32.511000000000003</v>
      </c>
      <c r="AA13">
        <v>65.576999999999998</v>
      </c>
      <c r="AC13">
        <v>29.971</v>
      </c>
      <c r="AD13">
        <v>32.061</v>
      </c>
      <c r="AE13">
        <v>48.500999999999998</v>
      </c>
      <c r="AF13">
        <v>43.841999999999999</v>
      </c>
      <c r="AG13">
        <v>31.763000000000002</v>
      </c>
      <c r="AH13">
        <v>18.161000000000001</v>
      </c>
      <c r="AI13">
        <v>40.933</v>
      </c>
      <c r="AJ13">
        <v>55.097000000000001</v>
      </c>
      <c r="AK13">
        <v>31.516999999999999</v>
      </c>
      <c r="AL13">
        <v>58.545000000000002</v>
      </c>
      <c r="AN13">
        <v>53.661999999999999</v>
      </c>
      <c r="AO13">
        <v>34.317</v>
      </c>
    </row>
    <row r="14" spans="1:42" x14ac:dyDescent="0.25">
      <c r="A14">
        <v>71.947000000000003</v>
      </c>
      <c r="B14">
        <v>75.344999999999999</v>
      </c>
      <c r="C14">
        <v>31.23</v>
      </c>
      <c r="D14">
        <v>98.06</v>
      </c>
      <c r="E14">
        <v>85.484999999999999</v>
      </c>
      <c r="F14">
        <v>6.5789999999999997</v>
      </c>
      <c r="H14">
        <v>49.152000000000001</v>
      </c>
      <c r="I14">
        <v>43.28</v>
      </c>
      <c r="J14">
        <v>30.295999999999999</v>
      </c>
      <c r="K14">
        <v>45.997999999999998</v>
      </c>
      <c r="M14">
        <v>25.954999999999998</v>
      </c>
      <c r="N14">
        <v>19.395</v>
      </c>
      <c r="O14">
        <v>72.438000000000002</v>
      </c>
      <c r="R14">
        <v>27.227</v>
      </c>
      <c r="T14">
        <v>27.664000000000001</v>
      </c>
      <c r="U14">
        <v>21.577999999999999</v>
      </c>
      <c r="W14">
        <v>133.60900000000001</v>
      </c>
      <c r="X14">
        <v>34.747999999999998</v>
      </c>
      <c r="Y14">
        <v>36.756</v>
      </c>
      <c r="AA14">
        <v>65.876999999999995</v>
      </c>
      <c r="AC14">
        <v>31.196999999999999</v>
      </c>
      <c r="AD14">
        <v>41.491</v>
      </c>
      <c r="AE14">
        <v>45.616999999999997</v>
      </c>
      <c r="AF14">
        <v>48.341999999999999</v>
      </c>
      <c r="AG14">
        <v>24.661000000000001</v>
      </c>
      <c r="AH14">
        <v>18.856000000000002</v>
      </c>
      <c r="AI14">
        <v>45.378</v>
      </c>
      <c r="AJ14">
        <v>46.712000000000003</v>
      </c>
      <c r="AK14">
        <v>28.652000000000001</v>
      </c>
      <c r="AL14">
        <v>51.44</v>
      </c>
      <c r="AN14">
        <v>55.869</v>
      </c>
    </row>
    <row r="15" spans="1:42" x14ac:dyDescent="0.25">
      <c r="A15">
        <v>50.436</v>
      </c>
      <c r="B15">
        <v>74.617999999999995</v>
      </c>
      <c r="C15">
        <v>37.244999999999997</v>
      </c>
      <c r="D15">
        <v>90.724999999999994</v>
      </c>
      <c r="E15">
        <v>93.567999999999998</v>
      </c>
      <c r="F15">
        <v>19.847000000000001</v>
      </c>
      <c r="H15">
        <v>23.94</v>
      </c>
      <c r="I15">
        <v>48.210999999999999</v>
      </c>
      <c r="J15">
        <v>40.694000000000003</v>
      </c>
      <c r="K15">
        <v>42.372999999999998</v>
      </c>
      <c r="M15">
        <v>23.905000000000001</v>
      </c>
      <c r="N15">
        <v>19.396999999999998</v>
      </c>
      <c r="O15">
        <v>66.769000000000005</v>
      </c>
      <c r="R15">
        <v>18.282</v>
      </c>
      <c r="T15">
        <v>24.004999999999999</v>
      </c>
      <c r="U15">
        <v>24.548999999999999</v>
      </c>
      <c r="W15">
        <v>67.789000000000001</v>
      </c>
      <c r="X15">
        <v>27.152999999999999</v>
      </c>
      <c r="Y15">
        <v>19.427</v>
      </c>
      <c r="AA15">
        <v>50.228000000000002</v>
      </c>
      <c r="AC15">
        <v>21.189</v>
      </c>
      <c r="AD15">
        <v>46.091999999999999</v>
      </c>
      <c r="AE15">
        <v>71.043000000000006</v>
      </c>
      <c r="AF15">
        <v>46.265000000000001</v>
      </c>
      <c r="AG15">
        <v>39.271000000000001</v>
      </c>
      <c r="AH15">
        <v>19.786000000000001</v>
      </c>
      <c r="AI15">
        <v>47</v>
      </c>
      <c r="AJ15">
        <v>55.368000000000002</v>
      </c>
      <c r="AK15">
        <v>37.613</v>
      </c>
      <c r="AL15">
        <v>75.037999999999997</v>
      </c>
      <c r="AN15">
        <v>39.055999999999997</v>
      </c>
    </row>
    <row r="16" spans="1:42" x14ac:dyDescent="0.25">
      <c r="A16">
        <v>35.404000000000003</v>
      </c>
      <c r="B16">
        <v>35.585000000000001</v>
      </c>
      <c r="C16">
        <v>39.53</v>
      </c>
      <c r="D16">
        <v>37.146000000000001</v>
      </c>
      <c r="E16">
        <v>93.861000000000004</v>
      </c>
      <c r="F16">
        <v>14.27</v>
      </c>
      <c r="H16">
        <v>33.258000000000003</v>
      </c>
      <c r="I16">
        <v>46.256</v>
      </c>
      <c r="J16">
        <v>60.404000000000003</v>
      </c>
      <c r="K16">
        <v>76.3</v>
      </c>
      <c r="M16">
        <v>23.734999999999999</v>
      </c>
      <c r="N16">
        <v>25.064</v>
      </c>
      <c r="O16">
        <v>52.185000000000002</v>
      </c>
      <c r="R16">
        <v>21.972999999999999</v>
      </c>
      <c r="T16">
        <v>23.437999999999999</v>
      </c>
      <c r="U16">
        <v>28.472000000000001</v>
      </c>
      <c r="W16">
        <v>71.492999999999995</v>
      </c>
      <c r="X16">
        <v>41.645000000000003</v>
      </c>
      <c r="Y16">
        <v>23.584</v>
      </c>
      <c r="AA16">
        <v>93.156000000000006</v>
      </c>
      <c r="AC16">
        <v>40.027000000000001</v>
      </c>
      <c r="AD16">
        <v>41.924999999999997</v>
      </c>
      <c r="AE16">
        <v>50.201000000000001</v>
      </c>
      <c r="AF16">
        <v>54.798000000000002</v>
      </c>
      <c r="AG16">
        <v>33.445</v>
      </c>
      <c r="AH16">
        <v>22.068999999999999</v>
      </c>
      <c r="AI16">
        <v>36.398000000000003</v>
      </c>
      <c r="AJ16">
        <v>46.734999999999999</v>
      </c>
      <c r="AK16">
        <v>57.552</v>
      </c>
      <c r="AL16">
        <v>57.707000000000001</v>
      </c>
      <c r="AN16">
        <v>55.024999999999999</v>
      </c>
    </row>
    <row r="17" spans="1:40" x14ac:dyDescent="0.25">
      <c r="A17">
        <v>52.472999999999999</v>
      </c>
      <c r="B17">
        <v>70.510999999999996</v>
      </c>
      <c r="C17">
        <v>14.62</v>
      </c>
      <c r="D17">
        <v>31.795000000000002</v>
      </c>
      <c r="E17">
        <v>146.226</v>
      </c>
      <c r="F17">
        <v>19.43</v>
      </c>
      <c r="H17">
        <v>37.972999999999999</v>
      </c>
      <c r="I17">
        <v>16.507999999999999</v>
      </c>
      <c r="J17">
        <v>50.329000000000001</v>
      </c>
      <c r="K17">
        <v>86.978999999999999</v>
      </c>
      <c r="M17">
        <v>35.854999999999997</v>
      </c>
      <c r="N17">
        <v>29.071000000000002</v>
      </c>
      <c r="O17">
        <v>33.578000000000003</v>
      </c>
      <c r="R17">
        <v>18.109000000000002</v>
      </c>
      <c r="T17">
        <v>21.7</v>
      </c>
      <c r="U17">
        <v>22.084</v>
      </c>
      <c r="W17">
        <v>52.76</v>
      </c>
      <c r="X17">
        <v>50.838000000000001</v>
      </c>
      <c r="Y17">
        <v>29.119</v>
      </c>
      <c r="AA17">
        <v>69.100999999999999</v>
      </c>
      <c r="AC17">
        <v>33.021999999999998</v>
      </c>
      <c r="AD17">
        <v>52.402000000000001</v>
      </c>
      <c r="AE17">
        <v>67.802999999999997</v>
      </c>
      <c r="AF17">
        <v>44.802999999999997</v>
      </c>
      <c r="AG17">
        <v>43.265000000000001</v>
      </c>
      <c r="AH17">
        <v>22.248999999999999</v>
      </c>
      <c r="AI17">
        <v>35.618000000000002</v>
      </c>
      <c r="AJ17">
        <v>42.688000000000002</v>
      </c>
      <c r="AK17">
        <v>56.692</v>
      </c>
      <c r="AL17">
        <v>79.662000000000006</v>
      </c>
      <c r="AN17">
        <v>73.301000000000002</v>
      </c>
    </row>
    <row r="18" spans="1:40" x14ac:dyDescent="0.25">
      <c r="A18">
        <v>59.140999999999998</v>
      </c>
      <c r="B18">
        <v>63.104999999999997</v>
      </c>
      <c r="C18">
        <v>14.91</v>
      </c>
      <c r="D18">
        <v>39.621000000000002</v>
      </c>
      <c r="E18">
        <v>108.586</v>
      </c>
      <c r="F18">
        <v>4.6749999999999998</v>
      </c>
      <c r="H18">
        <v>42.918999999999997</v>
      </c>
      <c r="I18">
        <v>37.393999999999998</v>
      </c>
      <c r="J18">
        <v>57.350999999999999</v>
      </c>
      <c r="K18">
        <v>51.753</v>
      </c>
      <c r="M18">
        <v>24.577000000000002</v>
      </c>
      <c r="N18">
        <v>24.024999999999999</v>
      </c>
      <c r="O18">
        <v>37.682000000000002</v>
      </c>
      <c r="R18">
        <v>15.926</v>
      </c>
      <c r="T18">
        <v>17.585999999999999</v>
      </c>
      <c r="U18">
        <v>30.945</v>
      </c>
      <c r="W18">
        <v>19.951000000000001</v>
      </c>
      <c r="X18">
        <v>52.040999999999997</v>
      </c>
      <c r="Y18">
        <v>20.695</v>
      </c>
      <c r="AA18">
        <v>45.482999999999997</v>
      </c>
      <c r="AC18">
        <v>38.765999999999998</v>
      </c>
      <c r="AD18">
        <v>57.231999999999999</v>
      </c>
      <c r="AE18">
        <v>45.533000000000001</v>
      </c>
      <c r="AF18">
        <v>29.081</v>
      </c>
      <c r="AG18">
        <v>41.786999999999999</v>
      </c>
      <c r="AH18">
        <v>21.524000000000001</v>
      </c>
      <c r="AI18">
        <v>34.258000000000003</v>
      </c>
      <c r="AJ18">
        <v>33.139000000000003</v>
      </c>
      <c r="AK18">
        <v>49.523000000000003</v>
      </c>
      <c r="AL18">
        <v>59.472000000000001</v>
      </c>
      <c r="AN18">
        <v>77.185000000000002</v>
      </c>
    </row>
    <row r="19" spans="1:40" x14ac:dyDescent="0.25">
      <c r="A19">
        <v>81.781999999999996</v>
      </c>
      <c r="B19">
        <v>78.849000000000004</v>
      </c>
      <c r="C19">
        <v>14.47</v>
      </c>
      <c r="D19">
        <v>88.802000000000007</v>
      </c>
      <c r="E19">
        <v>97.418000000000006</v>
      </c>
      <c r="F19">
        <v>10.028</v>
      </c>
      <c r="H19">
        <v>37.561999999999998</v>
      </c>
      <c r="I19">
        <v>11.648</v>
      </c>
      <c r="J19">
        <v>32.164000000000001</v>
      </c>
      <c r="K19">
        <v>81.254999999999995</v>
      </c>
      <c r="M19">
        <v>29.734999999999999</v>
      </c>
      <c r="N19">
        <v>24.672000000000001</v>
      </c>
      <c r="O19">
        <v>42.009</v>
      </c>
      <c r="R19">
        <v>20.202000000000002</v>
      </c>
      <c r="T19">
        <v>15.007999999999999</v>
      </c>
      <c r="U19">
        <v>23.593</v>
      </c>
      <c r="W19">
        <v>92.218000000000004</v>
      </c>
      <c r="X19">
        <v>50.423999999999999</v>
      </c>
      <c r="Y19">
        <v>18.363</v>
      </c>
      <c r="AA19">
        <v>36.585000000000001</v>
      </c>
      <c r="AC19">
        <v>45.954999999999998</v>
      </c>
      <c r="AD19">
        <v>47.088999999999999</v>
      </c>
      <c r="AE19">
        <v>25.744</v>
      </c>
      <c r="AF19">
        <v>37.305999999999997</v>
      </c>
      <c r="AG19">
        <v>44.101999999999997</v>
      </c>
      <c r="AH19">
        <v>16.094000000000001</v>
      </c>
      <c r="AI19">
        <v>35.540999999999997</v>
      </c>
      <c r="AJ19">
        <v>42.38</v>
      </c>
      <c r="AK19">
        <v>24.388999999999999</v>
      </c>
      <c r="AL19">
        <v>56.07</v>
      </c>
      <c r="AN19">
        <v>68.849000000000004</v>
      </c>
    </row>
    <row r="20" spans="1:40" x14ac:dyDescent="0.25">
      <c r="A20">
        <v>78.216999999999999</v>
      </c>
      <c r="B20">
        <v>72.534000000000006</v>
      </c>
      <c r="C20">
        <v>51.71</v>
      </c>
      <c r="D20">
        <v>75.954999999999998</v>
      </c>
      <c r="E20">
        <v>63.954000000000001</v>
      </c>
      <c r="F20">
        <v>25.507000000000001</v>
      </c>
      <c r="H20">
        <v>30.603999999999999</v>
      </c>
      <c r="I20">
        <v>34.287999999999997</v>
      </c>
      <c r="J20">
        <v>30.573</v>
      </c>
      <c r="K20">
        <v>65.744</v>
      </c>
      <c r="M20">
        <v>28.632000000000001</v>
      </c>
      <c r="N20">
        <v>23.876999999999999</v>
      </c>
      <c r="O20">
        <v>53.826000000000001</v>
      </c>
      <c r="R20">
        <v>17.954000000000001</v>
      </c>
      <c r="T20">
        <v>27.686</v>
      </c>
      <c r="U20">
        <v>33.787999999999997</v>
      </c>
      <c r="W20">
        <v>37.716000000000001</v>
      </c>
      <c r="X20">
        <v>17.510999999999999</v>
      </c>
      <c r="Y20">
        <v>16.23</v>
      </c>
      <c r="AA20">
        <v>37.478000000000002</v>
      </c>
      <c r="AC20">
        <v>27.978000000000002</v>
      </c>
      <c r="AD20">
        <v>51.305</v>
      </c>
      <c r="AE20">
        <v>35.262</v>
      </c>
      <c r="AF20">
        <v>33.878</v>
      </c>
      <c r="AG20">
        <v>35.167000000000002</v>
      </c>
      <c r="AI20">
        <v>24.577000000000002</v>
      </c>
      <c r="AJ20">
        <v>45.283000000000001</v>
      </c>
      <c r="AK20">
        <v>46.094999999999999</v>
      </c>
      <c r="AL20">
        <v>74.209999999999994</v>
      </c>
      <c r="AN20">
        <v>58.142000000000003</v>
      </c>
    </row>
    <row r="21" spans="1:40" x14ac:dyDescent="0.25">
      <c r="A21">
        <v>61.637999999999998</v>
      </c>
      <c r="B21">
        <v>87.44</v>
      </c>
      <c r="C21">
        <v>44.445</v>
      </c>
      <c r="D21">
        <v>40.399000000000001</v>
      </c>
      <c r="E21">
        <v>98.174000000000007</v>
      </c>
      <c r="F21">
        <v>27.946000000000002</v>
      </c>
      <c r="H21">
        <v>25.734999999999999</v>
      </c>
      <c r="I21">
        <v>47.673999999999999</v>
      </c>
      <c r="J21">
        <v>59.319000000000003</v>
      </c>
      <c r="K21">
        <v>53.317</v>
      </c>
      <c r="M21">
        <v>16.433</v>
      </c>
      <c r="N21">
        <v>15.32</v>
      </c>
      <c r="O21">
        <v>45.042000000000002</v>
      </c>
      <c r="R21">
        <v>23.513000000000002</v>
      </c>
      <c r="T21">
        <v>32.765000000000001</v>
      </c>
      <c r="U21">
        <v>26.79</v>
      </c>
      <c r="W21">
        <v>51.682000000000002</v>
      </c>
      <c r="X21">
        <v>50.057000000000002</v>
      </c>
      <c r="AA21">
        <v>33.423000000000002</v>
      </c>
      <c r="AC21">
        <v>37.188000000000002</v>
      </c>
      <c r="AD21">
        <v>30.082000000000001</v>
      </c>
      <c r="AE21">
        <v>28.997</v>
      </c>
      <c r="AF21">
        <v>35.527000000000001</v>
      </c>
      <c r="AG21">
        <v>39.994999999999997</v>
      </c>
      <c r="AI21">
        <v>53.457999999999998</v>
      </c>
      <c r="AJ21">
        <v>45.216999999999999</v>
      </c>
      <c r="AK21">
        <v>34.771000000000001</v>
      </c>
      <c r="AL21">
        <v>57.883000000000003</v>
      </c>
      <c r="AN21">
        <v>66.289000000000001</v>
      </c>
    </row>
    <row r="22" spans="1:40" x14ac:dyDescent="0.25">
      <c r="A22">
        <v>66.771000000000001</v>
      </c>
      <c r="B22">
        <v>34.1</v>
      </c>
      <c r="C22">
        <v>15.96</v>
      </c>
      <c r="D22">
        <v>97.724999999999994</v>
      </c>
      <c r="E22">
        <v>140.547</v>
      </c>
      <c r="F22">
        <v>24.372</v>
      </c>
      <c r="H22">
        <v>20.006</v>
      </c>
      <c r="I22">
        <v>54.31</v>
      </c>
      <c r="J22">
        <v>47.636000000000003</v>
      </c>
      <c r="K22">
        <v>16.262</v>
      </c>
      <c r="M22">
        <v>21.312000000000001</v>
      </c>
      <c r="O22">
        <v>54.107999999999997</v>
      </c>
      <c r="R22">
        <v>14.523</v>
      </c>
      <c r="T22">
        <v>25.001999999999999</v>
      </c>
      <c r="U22">
        <v>20.286000000000001</v>
      </c>
      <c r="W22">
        <v>46.994999999999997</v>
      </c>
      <c r="X22">
        <v>49.887999999999998</v>
      </c>
      <c r="AA22">
        <v>45.139000000000003</v>
      </c>
      <c r="AC22">
        <v>36.765999999999998</v>
      </c>
      <c r="AD22">
        <v>27.030999999999999</v>
      </c>
      <c r="AE22">
        <v>69.603999999999999</v>
      </c>
      <c r="AF22">
        <v>39.087000000000003</v>
      </c>
      <c r="AG22">
        <v>45.497</v>
      </c>
      <c r="AI22">
        <v>50.438000000000002</v>
      </c>
      <c r="AJ22">
        <v>57.268000000000001</v>
      </c>
      <c r="AK22">
        <v>38.801000000000002</v>
      </c>
      <c r="AL22">
        <v>65.417000000000002</v>
      </c>
      <c r="AN22">
        <v>66.430000000000007</v>
      </c>
    </row>
    <row r="23" spans="1:40" x14ac:dyDescent="0.25">
      <c r="A23">
        <v>73.876000000000005</v>
      </c>
      <c r="B23">
        <v>41.167999999999999</v>
      </c>
      <c r="C23">
        <v>42.664999999999999</v>
      </c>
      <c r="D23">
        <v>87.272999999999996</v>
      </c>
      <c r="E23">
        <v>77.308999999999997</v>
      </c>
      <c r="F23">
        <v>10.099</v>
      </c>
      <c r="H23">
        <v>24.231000000000002</v>
      </c>
      <c r="I23">
        <v>35.354999999999997</v>
      </c>
      <c r="J23">
        <v>49.771000000000001</v>
      </c>
      <c r="K23">
        <v>41.643999999999998</v>
      </c>
      <c r="M23">
        <v>47.493000000000002</v>
      </c>
      <c r="O23">
        <v>64.242999999999995</v>
      </c>
      <c r="R23">
        <v>15.79</v>
      </c>
      <c r="T23">
        <v>28.611000000000001</v>
      </c>
      <c r="U23">
        <v>31.658999999999999</v>
      </c>
      <c r="W23">
        <v>76.024000000000001</v>
      </c>
      <c r="X23">
        <v>40.465000000000003</v>
      </c>
      <c r="AA23">
        <v>60.947000000000003</v>
      </c>
      <c r="AC23">
        <v>35.564</v>
      </c>
      <c r="AD23">
        <v>61.677999999999997</v>
      </c>
      <c r="AE23">
        <v>56.277000000000001</v>
      </c>
      <c r="AF23">
        <v>37.667999999999999</v>
      </c>
      <c r="AG23">
        <v>33.462000000000003</v>
      </c>
      <c r="AI23">
        <v>34.569000000000003</v>
      </c>
      <c r="AJ23">
        <v>54.872999999999998</v>
      </c>
      <c r="AK23">
        <v>44.354999999999997</v>
      </c>
      <c r="AL23">
        <v>67.156999999999996</v>
      </c>
      <c r="AN23">
        <v>53.44</v>
      </c>
    </row>
    <row r="24" spans="1:40" x14ac:dyDescent="0.25">
      <c r="A24">
        <v>60.81</v>
      </c>
      <c r="B24">
        <v>71.7</v>
      </c>
      <c r="C24">
        <v>55.145000000000003</v>
      </c>
      <c r="D24">
        <v>42.215000000000003</v>
      </c>
      <c r="E24">
        <v>83.02</v>
      </c>
      <c r="F24">
        <v>9.141</v>
      </c>
      <c r="H24">
        <v>45.7</v>
      </c>
      <c r="I24">
        <v>30.658000000000001</v>
      </c>
      <c r="J24">
        <v>33.012</v>
      </c>
      <c r="K24">
        <v>57.158999999999999</v>
      </c>
      <c r="M24">
        <v>21.466000000000001</v>
      </c>
      <c r="O24">
        <v>39.869999999999997</v>
      </c>
      <c r="R24">
        <v>30.312999999999999</v>
      </c>
      <c r="U24">
        <v>24.925000000000001</v>
      </c>
      <c r="W24">
        <v>93.173000000000002</v>
      </c>
      <c r="X24">
        <v>71.358000000000004</v>
      </c>
      <c r="AA24">
        <v>58.484000000000002</v>
      </c>
      <c r="AC24">
        <v>26.577000000000002</v>
      </c>
      <c r="AD24">
        <v>48.904000000000003</v>
      </c>
      <c r="AE24">
        <v>50.475999999999999</v>
      </c>
      <c r="AF24">
        <v>42.664000000000001</v>
      </c>
      <c r="AG24">
        <v>48.475999999999999</v>
      </c>
      <c r="AI24">
        <v>45.500999999999998</v>
      </c>
      <c r="AJ24">
        <v>53.923000000000002</v>
      </c>
      <c r="AK24">
        <v>55.531999999999996</v>
      </c>
      <c r="AL24">
        <v>58.048000000000002</v>
      </c>
      <c r="AN24">
        <v>57.695</v>
      </c>
    </row>
    <row r="25" spans="1:40" x14ac:dyDescent="0.25">
      <c r="A25">
        <v>71.198999999999998</v>
      </c>
      <c r="B25">
        <v>76.286000000000001</v>
      </c>
      <c r="C25">
        <v>36.54</v>
      </c>
      <c r="D25">
        <v>103.03700000000001</v>
      </c>
      <c r="E25">
        <v>82.643000000000001</v>
      </c>
      <c r="F25">
        <v>19.672999999999998</v>
      </c>
      <c r="H25">
        <v>22.219000000000001</v>
      </c>
      <c r="I25">
        <v>38.073</v>
      </c>
      <c r="J25">
        <v>37.938000000000002</v>
      </c>
      <c r="K25">
        <v>106.99</v>
      </c>
      <c r="M25">
        <v>30.056999999999999</v>
      </c>
      <c r="O25">
        <v>43.838999999999999</v>
      </c>
      <c r="R25">
        <v>29.766999999999999</v>
      </c>
      <c r="U25">
        <v>30.678000000000001</v>
      </c>
      <c r="W25">
        <v>106.182</v>
      </c>
      <c r="X25">
        <v>51.680999999999997</v>
      </c>
      <c r="AA25">
        <v>43.338000000000001</v>
      </c>
      <c r="AC25">
        <v>35.719000000000001</v>
      </c>
      <c r="AD25">
        <v>24.346</v>
      </c>
      <c r="AE25">
        <v>30.552</v>
      </c>
      <c r="AF25">
        <v>39.576000000000001</v>
      </c>
      <c r="AG25">
        <v>96.528999999999996</v>
      </c>
      <c r="AI25">
        <v>34.003999999999998</v>
      </c>
      <c r="AJ25">
        <v>36.637</v>
      </c>
      <c r="AK25">
        <v>46.031999999999996</v>
      </c>
      <c r="AL25">
        <v>48.951000000000001</v>
      </c>
      <c r="AN25">
        <v>80.134</v>
      </c>
    </row>
    <row r="26" spans="1:40" x14ac:dyDescent="0.25">
      <c r="A26">
        <v>57.131</v>
      </c>
      <c r="B26">
        <v>45.753</v>
      </c>
      <c r="C26">
        <v>54.14</v>
      </c>
      <c r="D26">
        <v>83.296000000000006</v>
      </c>
      <c r="E26">
        <v>86.043000000000006</v>
      </c>
      <c r="H26">
        <v>44.54</v>
      </c>
      <c r="I26">
        <v>31.178000000000001</v>
      </c>
      <c r="J26">
        <v>28.408000000000001</v>
      </c>
      <c r="K26">
        <v>39.295999999999999</v>
      </c>
      <c r="M26">
        <v>26.300999999999998</v>
      </c>
      <c r="O26">
        <v>44.85</v>
      </c>
      <c r="R26">
        <v>15.026</v>
      </c>
      <c r="U26">
        <v>26.565999999999999</v>
      </c>
      <c r="W26">
        <v>38.664999999999999</v>
      </c>
      <c r="X26">
        <v>58.404000000000003</v>
      </c>
      <c r="AA26">
        <v>41.334000000000003</v>
      </c>
      <c r="AC26">
        <v>24.398</v>
      </c>
      <c r="AD26">
        <v>20.475999999999999</v>
      </c>
      <c r="AE26">
        <v>45.975999999999999</v>
      </c>
      <c r="AF26">
        <v>29.515999999999998</v>
      </c>
      <c r="AG26">
        <v>23.844000000000001</v>
      </c>
      <c r="AI26">
        <v>31.268000000000001</v>
      </c>
      <c r="AJ26">
        <v>33.439</v>
      </c>
      <c r="AK26">
        <v>36.332000000000001</v>
      </c>
      <c r="AL26">
        <v>48.061999999999998</v>
      </c>
      <c r="AN26">
        <v>98.662999999999997</v>
      </c>
    </row>
    <row r="27" spans="1:40" x14ac:dyDescent="0.25">
      <c r="A27">
        <v>50.155999999999999</v>
      </c>
      <c r="B27">
        <v>95.921999999999997</v>
      </c>
      <c r="C27">
        <v>102.21</v>
      </c>
      <c r="D27">
        <v>129.68700000000001</v>
      </c>
      <c r="E27">
        <v>100.703</v>
      </c>
      <c r="H27">
        <v>37.170999999999999</v>
      </c>
      <c r="I27">
        <v>29.952000000000002</v>
      </c>
      <c r="J27">
        <v>42.283000000000001</v>
      </c>
      <c r="K27">
        <v>96.685000000000002</v>
      </c>
      <c r="M27">
        <v>23.23</v>
      </c>
      <c r="O27">
        <v>54.451000000000001</v>
      </c>
      <c r="R27">
        <v>18.338000000000001</v>
      </c>
      <c r="U27">
        <v>29.462</v>
      </c>
      <c r="W27">
        <v>24.042999999999999</v>
      </c>
      <c r="X27">
        <v>44.334000000000003</v>
      </c>
      <c r="AA27">
        <v>52.137999999999998</v>
      </c>
      <c r="AC27">
        <v>25.427</v>
      </c>
      <c r="AD27">
        <v>40.356000000000002</v>
      </c>
      <c r="AE27">
        <v>51.62</v>
      </c>
      <c r="AF27">
        <v>45.256999999999998</v>
      </c>
      <c r="AG27">
        <v>34.5</v>
      </c>
      <c r="AI27">
        <v>48.41</v>
      </c>
      <c r="AJ27">
        <v>54.936</v>
      </c>
      <c r="AK27">
        <v>35.459000000000003</v>
      </c>
      <c r="AL27">
        <v>61.337000000000003</v>
      </c>
      <c r="AN27">
        <v>43.792999999999999</v>
      </c>
    </row>
    <row r="28" spans="1:40" x14ac:dyDescent="0.25">
      <c r="A28">
        <v>52.694000000000003</v>
      </c>
      <c r="B28">
        <v>84.021000000000001</v>
      </c>
      <c r="C28">
        <v>35.89</v>
      </c>
      <c r="D28">
        <v>56.555</v>
      </c>
      <c r="E28">
        <v>104.429</v>
      </c>
      <c r="H28">
        <v>20.486000000000001</v>
      </c>
      <c r="I28">
        <v>19.803000000000001</v>
      </c>
      <c r="J28">
        <v>39.826000000000001</v>
      </c>
      <c r="K28">
        <v>52.781999999999996</v>
      </c>
      <c r="M28">
        <v>17.187999999999999</v>
      </c>
      <c r="O28">
        <v>48.555</v>
      </c>
      <c r="R28">
        <v>34.713000000000001</v>
      </c>
      <c r="U28">
        <v>24.864000000000001</v>
      </c>
      <c r="W28">
        <v>87.951999999999998</v>
      </c>
      <c r="X28">
        <v>38.024000000000001</v>
      </c>
      <c r="AA28">
        <v>72.028000000000006</v>
      </c>
      <c r="AC28">
        <v>27.666</v>
      </c>
      <c r="AD28">
        <v>35.478000000000002</v>
      </c>
      <c r="AE28">
        <v>49.375999999999998</v>
      </c>
      <c r="AF28">
        <v>31.77</v>
      </c>
      <c r="AG28">
        <v>33.207999999999998</v>
      </c>
      <c r="AI28">
        <v>36.552999999999997</v>
      </c>
      <c r="AJ28">
        <v>63.976999999999997</v>
      </c>
      <c r="AK28">
        <v>52.869</v>
      </c>
      <c r="AL28">
        <v>68.024000000000001</v>
      </c>
      <c r="AN28">
        <v>45.597000000000001</v>
      </c>
    </row>
    <row r="29" spans="1:40" x14ac:dyDescent="0.25">
      <c r="A29">
        <v>92.837000000000003</v>
      </c>
      <c r="B29">
        <v>64.790999999999997</v>
      </c>
      <c r="C29">
        <v>48.79</v>
      </c>
      <c r="D29">
        <v>110.306</v>
      </c>
      <c r="E29">
        <v>64.45</v>
      </c>
      <c r="H29">
        <v>51.265999999999998</v>
      </c>
      <c r="I29">
        <v>39.406999999999996</v>
      </c>
      <c r="J29">
        <v>56.347999999999999</v>
      </c>
      <c r="K29">
        <v>18.363</v>
      </c>
      <c r="M29">
        <v>22.940999999999999</v>
      </c>
      <c r="O29">
        <v>53.597000000000001</v>
      </c>
      <c r="R29">
        <v>29.428000000000001</v>
      </c>
      <c r="U29">
        <v>18.686</v>
      </c>
      <c r="W29">
        <v>98.638000000000005</v>
      </c>
      <c r="X29">
        <v>19.114999999999998</v>
      </c>
      <c r="AA29">
        <v>71.790000000000006</v>
      </c>
      <c r="AC29">
        <v>28.029</v>
      </c>
      <c r="AD29">
        <v>43.841999999999999</v>
      </c>
      <c r="AE29">
        <v>50.823999999999998</v>
      </c>
      <c r="AF29">
        <v>30.748999999999999</v>
      </c>
      <c r="AG29">
        <v>34.597999999999999</v>
      </c>
      <c r="AI29">
        <v>38.823999999999998</v>
      </c>
      <c r="AJ29">
        <v>33.936999999999998</v>
      </c>
      <c r="AK29">
        <v>68.328000000000003</v>
      </c>
      <c r="AL29">
        <v>65.617000000000004</v>
      </c>
      <c r="AN29">
        <v>85.316999999999993</v>
      </c>
    </row>
    <row r="30" spans="1:40" x14ac:dyDescent="0.25">
      <c r="A30">
        <v>46.912999999999997</v>
      </c>
      <c r="B30">
        <v>66.102999999999994</v>
      </c>
      <c r="C30">
        <v>37.79</v>
      </c>
      <c r="D30">
        <v>133.215</v>
      </c>
      <c r="E30">
        <v>97.406999999999996</v>
      </c>
      <c r="H30">
        <v>37.619</v>
      </c>
      <c r="I30">
        <v>50.692999999999998</v>
      </c>
      <c r="J30">
        <v>77.786000000000001</v>
      </c>
      <c r="K30">
        <v>51.774999999999999</v>
      </c>
      <c r="M30">
        <v>25.542999999999999</v>
      </c>
      <c r="R30">
        <v>28.396999999999998</v>
      </c>
      <c r="U30">
        <v>27.417999999999999</v>
      </c>
      <c r="W30">
        <v>37.676000000000002</v>
      </c>
      <c r="X30">
        <v>69.644999999999996</v>
      </c>
      <c r="AA30">
        <v>97.26</v>
      </c>
      <c r="AC30">
        <v>28.538</v>
      </c>
      <c r="AD30">
        <v>47.475000000000001</v>
      </c>
      <c r="AE30">
        <v>52.975999999999999</v>
      </c>
      <c r="AF30">
        <v>36.802</v>
      </c>
      <c r="AG30">
        <v>47.677999999999997</v>
      </c>
      <c r="AI30">
        <v>27.797000000000001</v>
      </c>
      <c r="AJ30">
        <v>39.752000000000002</v>
      </c>
      <c r="AK30">
        <v>53.603999999999999</v>
      </c>
      <c r="AL30">
        <v>80.177000000000007</v>
      </c>
      <c r="AN30">
        <v>57.152999999999999</v>
      </c>
    </row>
    <row r="31" spans="1:40" x14ac:dyDescent="0.25">
      <c r="A31">
        <v>59.255000000000003</v>
      </c>
      <c r="B31">
        <v>69.024000000000001</v>
      </c>
      <c r="C31">
        <v>49.42</v>
      </c>
      <c r="D31">
        <v>102.11</v>
      </c>
      <c r="E31">
        <v>91.971000000000004</v>
      </c>
      <c r="H31">
        <v>8.0749999999999993</v>
      </c>
      <c r="I31">
        <v>56.725999999999999</v>
      </c>
      <c r="J31">
        <v>57.783999999999999</v>
      </c>
      <c r="K31">
        <v>90.570999999999998</v>
      </c>
      <c r="M31">
        <v>36.271999999999998</v>
      </c>
      <c r="R31">
        <v>20.635999999999999</v>
      </c>
      <c r="U31">
        <v>29.190999999999999</v>
      </c>
      <c r="W31">
        <v>65.313000000000002</v>
      </c>
      <c r="X31">
        <v>89.572000000000003</v>
      </c>
      <c r="AA31">
        <v>66.185000000000002</v>
      </c>
      <c r="AC31">
        <v>52.078000000000003</v>
      </c>
      <c r="AD31">
        <v>35.811</v>
      </c>
      <c r="AE31">
        <v>51.420999999999999</v>
      </c>
      <c r="AF31">
        <v>41.188000000000002</v>
      </c>
      <c r="AG31">
        <v>40.533000000000001</v>
      </c>
      <c r="AI31">
        <v>33.747999999999998</v>
      </c>
      <c r="AJ31">
        <v>59.250999999999998</v>
      </c>
      <c r="AK31">
        <v>53.34</v>
      </c>
      <c r="AL31">
        <v>73.692999999999998</v>
      </c>
      <c r="AN31">
        <v>50.39</v>
      </c>
    </row>
    <row r="32" spans="1:40" x14ac:dyDescent="0.25">
      <c r="A32">
        <v>57.604999999999997</v>
      </c>
      <c r="B32">
        <v>83.228999999999999</v>
      </c>
      <c r="C32">
        <v>39.994999999999997</v>
      </c>
      <c r="D32">
        <v>36.731999999999999</v>
      </c>
      <c r="E32">
        <v>98.45</v>
      </c>
      <c r="H32">
        <v>22.544</v>
      </c>
      <c r="I32">
        <v>11.91</v>
      </c>
      <c r="J32">
        <v>51.789000000000001</v>
      </c>
      <c r="K32">
        <v>24.125</v>
      </c>
      <c r="R32">
        <v>23.457000000000001</v>
      </c>
      <c r="U32">
        <v>26.474</v>
      </c>
      <c r="W32">
        <v>63.756</v>
      </c>
      <c r="X32">
        <v>36.28</v>
      </c>
      <c r="AA32">
        <v>40.218000000000004</v>
      </c>
      <c r="AC32">
        <v>29.623999999999999</v>
      </c>
      <c r="AD32">
        <v>41.137999999999998</v>
      </c>
      <c r="AE32">
        <v>47.34</v>
      </c>
      <c r="AG32">
        <v>34.822000000000003</v>
      </c>
      <c r="AI32">
        <v>23.923999999999999</v>
      </c>
      <c r="AJ32">
        <v>26.620999999999999</v>
      </c>
      <c r="AK32">
        <v>61.65</v>
      </c>
      <c r="AL32">
        <v>55.938000000000002</v>
      </c>
      <c r="AN32">
        <v>55.631999999999998</v>
      </c>
    </row>
    <row r="33" spans="1:40" x14ac:dyDescent="0.25">
      <c r="A33">
        <v>55.567</v>
      </c>
      <c r="B33">
        <v>44.176000000000002</v>
      </c>
      <c r="C33">
        <v>47.475000000000001</v>
      </c>
      <c r="D33">
        <v>95.492999999999995</v>
      </c>
      <c r="E33">
        <v>35.01</v>
      </c>
      <c r="H33">
        <v>24.934000000000001</v>
      </c>
      <c r="I33">
        <v>52.008000000000003</v>
      </c>
      <c r="J33">
        <v>67.787000000000006</v>
      </c>
      <c r="K33">
        <v>47.609000000000002</v>
      </c>
      <c r="R33">
        <v>13.913</v>
      </c>
      <c r="U33">
        <v>26.332999999999998</v>
      </c>
      <c r="W33">
        <v>128.03800000000001</v>
      </c>
      <c r="X33">
        <v>28.866</v>
      </c>
      <c r="AA33">
        <v>66.266000000000005</v>
      </c>
      <c r="AC33">
        <v>41.433</v>
      </c>
      <c r="AD33">
        <v>24.074999999999999</v>
      </c>
      <c r="AE33">
        <v>59.118000000000002</v>
      </c>
      <c r="AG33">
        <v>28.405000000000001</v>
      </c>
      <c r="AI33">
        <v>26.4</v>
      </c>
      <c r="AJ33">
        <v>65.161000000000001</v>
      </c>
      <c r="AK33">
        <v>51.338000000000001</v>
      </c>
      <c r="AL33">
        <v>43.838999999999999</v>
      </c>
      <c r="AN33">
        <v>57.558999999999997</v>
      </c>
    </row>
    <row r="34" spans="1:40" x14ac:dyDescent="0.25">
      <c r="A34">
        <v>74.619</v>
      </c>
      <c r="B34">
        <v>28.968</v>
      </c>
      <c r="C34">
        <v>49.558</v>
      </c>
      <c r="D34">
        <v>127.732</v>
      </c>
      <c r="E34">
        <v>88.582999999999998</v>
      </c>
      <c r="H34">
        <v>39.704999999999998</v>
      </c>
      <c r="I34">
        <v>25.324000000000002</v>
      </c>
      <c r="J34">
        <v>63.936999999999998</v>
      </c>
      <c r="K34">
        <v>67.709999999999994</v>
      </c>
      <c r="R34">
        <v>22.286999999999999</v>
      </c>
      <c r="U34">
        <v>32.662999999999997</v>
      </c>
      <c r="W34">
        <v>102.517</v>
      </c>
      <c r="X34">
        <v>58.298000000000002</v>
      </c>
      <c r="AA34">
        <v>66.55</v>
      </c>
      <c r="AC34">
        <v>34.061</v>
      </c>
      <c r="AD34">
        <v>33.131</v>
      </c>
      <c r="AE34">
        <v>55.192999999999998</v>
      </c>
      <c r="AG34">
        <v>36.262</v>
      </c>
      <c r="AI34">
        <v>34.887</v>
      </c>
      <c r="AJ34">
        <v>60.762999999999998</v>
      </c>
      <c r="AK34">
        <v>62.073</v>
      </c>
      <c r="AL34">
        <v>61.27</v>
      </c>
    </row>
    <row r="35" spans="1:40" x14ac:dyDescent="0.25">
      <c r="A35">
        <v>33.633000000000003</v>
      </c>
      <c r="B35">
        <v>64.134</v>
      </c>
      <c r="C35">
        <v>32.454000000000001</v>
      </c>
      <c r="D35">
        <v>119.836</v>
      </c>
      <c r="H35">
        <v>57.265000000000001</v>
      </c>
      <c r="I35">
        <v>32.078000000000003</v>
      </c>
      <c r="J35">
        <v>64.763999999999996</v>
      </c>
      <c r="K35">
        <v>78.349000000000004</v>
      </c>
      <c r="R35">
        <v>18.681999999999999</v>
      </c>
      <c r="U35">
        <v>18.137</v>
      </c>
      <c r="W35">
        <v>102.92400000000001</v>
      </c>
      <c r="X35">
        <v>61.481000000000002</v>
      </c>
      <c r="AA35">
        <v>50.225999999999999</v>
      </c>
      <c r="AC35">
        <v>41.320999999999998</v>
      </c>
      <c r="AD35">
        <v>61.252000000000002</v>
      </c>
      <c r="AE35">
        <v>55.478999999999999</v>
      </c>
      <c r="AG35">
        <v>17.937999999999999</v>
      </c>
      <c r="AI35">
        <v>34.195999999999998</v>
      </c>
      <c r="AJ35">
        <v>52.914999999999999</v>
      </c>
      <c r="AK35">
        <v>60.63</v>
      </c>
      <c r="AL35">
        <v>67.617999999999995</v>
      </c>
    </row>
    <row r="36" spans="1:40" x14ac:dyDescent="0.25">
      <c r="A36">
        <v>55.387</v>
      </c>
      <c r="B36">
        <v>64.95</v>
      </c>
      <c r="D36">
        <v>45.843000000000004</v>
      </c>
      <c r="H36">
        <v>9.1310000000000002</v>
      </c>
      <c r="I36">
        <v>45.911000000000001</v>
      </c>
      <c r="J36">
        <v>31.706</v>
      </c>
      <c r="K36">
        <v>99.171000000000006</v>
      </c>
      <c r="R36">
        <v>25.844000000000001</v>
      </c>
      <c r="U36">
        <v>24.29</v>
      </c>
      <c r="W36">
        <v>54.241</v>
      </c>
      <c r="X36">
        <v>73.37</v>
      </c>
      <c r="AA36">
        <v>79.352999999999994</v>
      </c>
      <c r="AC36">
        <v>35.555</v>
      </c>
      <c r="AD36">
        <v>37.478999999999999</v>
      </c>
      <c r="AE36">
        <v>57.088000000000001</v>
      </c>
      <c r="AG36">
        <v>32.115000000000002</v>
      </c>
      <c r="AI36">
        <v>31.17</v>
      </c>
      <c r="AJ36">
        <v>63.366999999999997</v>
      </c>
      <c r="AK36">
        <v>54.584000000000003</v>
      </c>
      <c r="AL36">
        <v>72.256</v>
      </c>
    </row>
    <row r="37" spans="1:40" x14ac:dyDescent="0.25">
      <c r="A37">
        <v>51.002000000000002</v>
      </c>
      <c r="B37">
        <v>81.540000000000006</v>
      </c>
      <c r="D37">
        <v>84.631</v>
      </c>
      <c r="H37">
        <v>4.4870000000000001</v>
      </c>
      <c r="I37">
        <v>40.174999999999997</v>
      </c>
      <c r="J37">
        <v>30.85</v>
      </c>
      <c r="K37">
        <v>81.168999999999997</v>
      </c>
      <c r="R37">
        <v>20.026</v>
      </c>
      <c r="U37">
        <v>22.141999999999999</v>
      </c>
      <c r="W37">
        <v>120.795</v>
      </c>
      <c r="X37">
        <v>52.228999999999999</v>
      </c>
      <c r="AA37">
        <v>37.4</v>
      </c>
      <c r="AC37">
        <v>40.746000000000002</v>
      </c>
      <c r="AD37">
        <v>45.762999999999998</v>
      </c>
      <c r="AE37">
        <v>38.619</v>
      </c>
      <c r="AG37">
        <v>25.111999999999998</v>
      </c>
      <c r="AI37">
        <v>35.270000000000003</v>
      </c>
      <c r="AJ37">
        <v>42.997</v>
      </c>
      <c r="AK37">
        <v>50.197000000000003</v>
      </c>
      <c r="AL37">
        <v>47.097999999999999</v>
      </c>
    </row>
    <row r="38" spans="1:40" x14ac:dyDescent="0.25">
      <c r="A38">
        <v>25.815000000000001</v>
      </c>
      <c r="B38">
        <v>48.527999999999999</v>
      </c>
      <c r="D38">
        <v>34.171999999999997</v>
      </c>
      <c r="H38">
        <v>29.585999999999999</v>
      </c>
      <c r="I38">
        <v>27.802</v>
      </c>
      <c r="J38">
        <v>66.578000000000003</v>
      </c>
      <c r="K38">
        <v>24.201000000000001</v>
      </c>
      <c r="U38">
        <v>20.178999999999998</v>
      </c>
      <c r="W38">
        <v>105.04900000000001</v>
      </c>
      <c r="X38">
        <v>32.841999999999999</v>
      </c>
      <c r="AA38">
        <v>64.626999999999995</v>
      </c>
      <c r="AC38">
        <v>45.545000000000002</v>
      </c>
      <c r="AD38">
        <v>42.404000000000003</v>
      </c>
      <c r="AE38">
        <v>57.204000000000001</v>
      </c>
      <c r="AG38">
        <v>25.201000000000001</v>
      </c>
      <c r="AI38">
        <v>12.992000000000001</v>
      </c>
      <c r="AJ38">
        <v>62.198</v>
      </c>
      <c r="AK38">
        <v>43.584000000000003</v>
      </c>
      <c r="AL38">
        <v>76.564999999999998</v>
      </c>
    </row>
    <row r="39" spans="1:40" x14ac:dyDescent="0.25">
      <c r="A39">
        <v>67.709000000000003</v>
      </c>
      <c r="D39">
        <v>100.107</v>
      </c>
      <c r="H39">
        <v>31.827999999999999</v>
      </c>
      <c r="I39">
        <v>25.111999999999998</v>
      </c>
      <c r="J39">
        <v>28.675999999999998</v>
      </c>
      <c r="K39">
        <v>93.582999999999998</v>
      </c>
      <c r="U39">
        <v>25.44</v>
      </c>
      <c r="W39">
        <v>44.831000000000003</v>
      </c>
      <c r="X39">
        <v>49.825000000000003</v>
      </c>
      <c r="AA39">
        <v>68.475999999999999</v>
      </c>
      <c r="AC39">
        <v>45.478999999999999</v>
      </c>
      <c r="AD39">
        <v>48.957000000000001</v>
      </c>
      <c r="AE39">
        <v>50.075000000000003</v>
      </c>
      <c r="AI39">
        <v>14.913</v>
      </c>
      <c r="AJ39">
        <v>38.664999999999999</v>
      </c>
      <c r="AK39">
        <v>56.896999999999998</v>
      </c>
      <c r="AL39">
        <v>59.56</v>
      </c>
    </row>
    <row r="40" spans="1:40" x14ac:dyDescent="0.25">
      <c r="A40">
        <v>85.694999999999993</v>
      </c>
      <c r="D40">
        <v>97.457999999999998</v>
      </c>
      <c r="H40">
        <v>34.856000000000002</v>
      </c>
      <c r="I40">
        <v>64.69</v>
      </c>
      <c r="J40">
        <v>51.218000000000004</v>
      </c>
      <c r="K40">
        <v>101.878</v>
      </c>
      <c r="U40">
        <v>25.79</v>
      </c>
      <c r="W40">
        <v>35.991999999999997</v>
      </c>
      <c r="X40">
        <v>64.905000000000001</v>
      </c>
      <c r="AA40">
        <v>42.704999999999998</v>
      </c>
      <c r="AC40">
        <v>38.951999999999998</v>
      </c>
      <c r="AD40">
        <v>53.24</v>
      </c>
      <c r="AE40">
        <v>75.009</v>
      </c>
      <c r="AI40">
        <v>42.472999999999999</v>
      </c>
      <c r="AJ40">
        <v>57.091000000000001</v>
      </c>
      <c r="AK40">
        <v>46.524000000000001</v>
      </c>
      <c r="AL40">
        <v>46.459000000000003</v>
      </c>
    </row>
    <row r="41" spans="1:40" x14ac:dyDescent="0.25">
      <c r="A41">
        <v>93.462999999999994</v>
      </c>
      <c r="D41">
        <v>113.931</v>
      </c>
      <c r="H41">
        <v>48.728000000000002</v>
      </c>
      <c r="I41">
        <v>26.949000000000002</v>
      </c>
      <c r="J41">
        <v>20.077999999999999</v>
      </c>
      <c r="K41">
        <v>94.2</v>
      </c>
      <c r="U41">
        <v>24.946999999999999</v>
      </c>
      <c r="W41">
        <v>84.352999999999994</v>
      </c>
      <c r="X41">
        <v>56.582000000000001</v>
      </c>
      <c r="AA41">
        <v>65.647000000000006</v>
      </c>
      <c r="AC41">
        <v>19.905000000000001</v>
      </c>
      <c r="AD41">
        <v>64.825999999999993</v>
      </c>
      <c r="AE41">
        <v>58.344000000000001</v>
      </c>
      <c r="AI41">
        <v>44.073</v>
      </c>
      <c r="AJ41">
        <v>79.623000000000005</v>
      </c>
      <c r="AK41">
        <v>55.853999999999999</v>
      </c>
      <c r="AL41">
        <v>67.366</v>
      </c>
    </row>
    <row r="42" spans="1:40" x14ac:dyDescent="0.25">
      <c r="A42">
        <v>76.120999999999995</v>
      </c>
      <c r="D42">
        <v>102.68899999999999</v>
      </c>
      <c r="H42">
        <v>42.975000000000001</v>
      </c>
      <c r="I42">
        <v>52.396000000000001</v>
      </c>
      <c r="J42">
        <v>48.758000000000003</v>
      </c>
      <c r="K42">
        <v>114.193</v>
      </c>
      <c r="W42">
        <v>80.061000000000007</v>
      </c>
      <c r="X42">
        <v>54.408999999999999</v>
      </c>
      <c r="AA42">
        <v>83.44</v>
      </c>
      <c r="AC42">
        <v>36.197000000000003</v>
      </c>
      <c r="AD42">
        <v>41.155999999999999</v>
      </c>
      <c r="AE42">
        <v>65.989999999999995</v>
      </c>
      <c r="AI42">
        <v>46.585000000000001</v>
      </c>
      <c r="AJ42">
        <v>47.658999999999999</v>
      </c>
      <c r="AK42">
        <v>50.165999999999997</v>
      </c>
      <c r="AL42">
        <v>57.302999999999997</v>
      </c>
    </row>
    <row r="43" spans="1:40" x14ac:dyDescent="0.25">
      <c r="A43">
        <v>58.512</v>
      </c>
      <c r="D43">
        <v>62.835000000000001</v>
      </c>
      <c r="H43">
        <v>24.047000000000001</v>
      </c>
      <c r="I43">
        <v>61.210999999999999</v>
      </c>
      <c r="J43">
        <v>34.44</v>
      </c>
      <c r="W43">
        <v>106.929</v>
      </c>
      <c r="X43">
        <v>28.696999999999999</v>
      </c>
      <c r="AA43">
        <v>111.114</v>
      </c>
      <c r="AC43">
        <v>27.209</v>
      </c>
      <c r="AD43">
        <v>35.755000000000003</v>
      </c>
      <c r="AE43">
        <v>58.466999999999999</v>
      </c>
      <c r="AI43">
        <v>43.716999999999999</v>
      </c>
      <c r="AJ43">
        <v>33.973999999999997</v>
      </c>
      <c r="AK43">
        <v>45.148000000000003</v>
      </c>
    </row>
    <row r="44" spans="1:40" x14ac:dyDescent="0.25">
      <c r="A44">
        <v>23.48</v>
      </c>
      <c r="D44">
        <v>100.938</v>
      </c>
      <c r="H44">
        <v>15.707000000000001</v>
      </c>
      <c r="I44">
        <v>41.103999999999999</v>
      </c>
      <c r="J44">
        <v>55.055</v>
      </c>
      <c r="X44">
        <v>60.603000000000002</v>
      </c>
      <c r="AA44">
        <v>71.400999999999996</v>
      </c>
      <c r="AC44">
        <v>32.143999999999998</v>
      </c>
      <c r="AD44">
        <v>16.414999999999999</v>
      </c>
      <c r="AE44">
        <v>64.936999999999998</v>
      </c>
      <c r="AI44">
        <v>49.932000000000002</v>
      </c>
      <c r="AJ44">
        <v>65.341999999999999</v>
      </c>
      <c r="AK44">
        <v>49.92</v>
      </c>
    </row>
    <row r="45" spans="1:40" x14ac:dyDescent="0.25">
      <c r="A45">
        <v>72.775999999999996</v>
      </c>
      <c r="D45">
        <v>106.12</v>
      </c>
      <c r="H45">
        <v>46.271000000000001</v>
      </c>
      <c r="I45">
        <v>26.331</v>
      </c>
      <c r="J45">
        <v>25.641999999999999</v>
      </c>
      <c r="X45">
        <v>30.643999999999998</v>
      </c>
      <c r="AA45">
        <v>66.524000000000001</v>
      </c>
      <c r="AC45">
        <v>38.567</v>
      </c>
      <c r="AD45">
        <v>29.402000000000001</v>
      </c>
      <c r="AE45">
        <v>42.347000000000001</v>
      </c>
      <c r="AI45">
        <v>23.068000000000001</v>
      </c>
      <c r="AJ45">
        <v>47.314999999999998</v>
      </c>
      <c r="AK45">
        <v>40.33</v>
      </c>
    </row>
    <row r="46" spans="1:40" x14ac:dyDescent="0.25">
      <c r="A46">
        <v>66.77</v>
      </c>
      <c r="D46">
        <v>66.811999999999998</v>
      </c>
      <c r="H46">
        <v>56.241999999999997</v>
      </c>
      <c r="I46">
        <v>29.303000000000001</v>
      </c>
      <c r="J46">
        <v>76.489999999999995</v>
      </c>
      <c r="X46">
        <v>43.47</v>
      </c>
      <c r="AA46">
        <v>88.798000000000002</v>
      </c>
      <c r="AC46">
        <v>28.039000000000001</v>
      </c>
      <c r="AD46">
        <v>29.138999999999999</v>
      </c>
      <c r="AE46">
        <v>74.656999999999996</v>
      </c>
      <c r="AI46">
        <v>29.100999999999999</v>
      </c>
      <c r="AJ46">
        <v>48.133000000000003</v>
      </c>
      <c r="AK46">
        <v>58.006</v>
      </c>
    </row>
    <row r="47" spans="1:40" x14ac:dyDescent="0.25">
      <c r="A47">
        <v>28.462</v>
      </c>
      <c r="D47">
        <v>109.51900000000001</v>
      </c>
      <c r="H47">
        <v>15.96</v>
      </c>
      <c r="I47">
        <v>20.140999999999998</v>
      </c>
      <c r="J47">
        <v>65.213999999999999</v>
      </c>
      <c r="X47">
        <v>53.35</v>
      </c>
      <c r="AA47">
        <v>42.41</v>
      </c>
      <c r="AC47">
        <v>30.567</v>
      </c>
      <c r="AD47">
        <v>54.084000000000003</v>
      </c>
      <c r="AE47">
        <v>79.876999999999995</v>
      </c>
      <c r="AI47">
        <v>44.293999999999997</v>
      </c>
      <c r="AJ47">
        <v>42.643000000000001</v>
      </c>
      <c r="AK47">
        <v>55.036999999999999</v>
      </c>
    </row>
    <row r="48" spans="1:40" x14ac:dyDescent="0.25">
      <c r="A48">
        <v>75.534999999999997</v>
      </c>
      <c r="D48">
        <v>108.52500000000001</v>
      </c>
      <c r="H48">
        <v>8.2200000000000006</v>
      </c>
      <c r="I48">
        <v>20.681999999999999</v>
      </c>
      <c r="J48">
        <v>41.697000000000003</v>
      </c>
      <c r="X48">
        <v>45.732999999999997</v>
      </c>
      <c r="AA48">
        <v>67.284999999999997</v>
      </c>
      <c r="AD48">
        <v>37.253</v>
      </c>
      <c r="AE48">
        <v>56.981000000000002</v>
      </c>
      <c r="AI48">
        <v>45.899000000000001</v>
      </c>
      <c r="AJ48">
        <v>38.938000000000002</v>
      </c>
      <c r="AK48">
        <v>40.258000000000003</v>
      </c>
    </row>
    <row r="49" spans="1:37" x14ac:dyDescent="0.25">
      <c r="A49">
        <v>106.80500000000001</v>
      </c>
      <c r="D49">
        <v>111.694</v>
      </c>
      <c r="H49">
        <v>10.977</v>
      </c>
      <c r="I49">
        <v>30.881</v>
      </c>
      <c r="J49">
        <v>45.612000000000002</v>
      </c>
      <c r="X49">
        <v>42.284999999999997</v>
      </c>
      <c r="AA49">
        <v>36.442</v>
      </c>
      <c r="AD49">
        <v>44.116999999999997</v>
      </c>
      <c r="AE49">
        <v>50.661999999999999</v>
      </c>
      <c r="AI49">
        <v>47.143000000000001</v>
      </c>
      <c r="AJ49">
        <v>55.673999999999999</v>
      </c>
      <c r="AK49">
        <v>60.412999999999997</v>
      </c>
    </row>
    <row r="50" spans="1:37" x14ac:dyDescent="0.25">
      <c r="A50">
        <v>78.317999999999998</v>
      </c>
      <c r="D50">
        <v>121.36799999999999</v>
      </c>
      <c r="H50">
        <v>16.059000000000001</v>
      </c>
      <c r="I50">
        <v>20.332999999999998</v>
      </c>
      <c r="J50">
        <v>58.22</v>
      </c>
      <c r="X50">
        <v>45.600999999999999</v>
      </c>
      <c r="AA50">
        <v>26.006</v>
      </c>
      <c r="AD50">
        <v>27.946000000000002</v>
      </c>
      <c r="AE50">
        <v>50.523000000000003</v>
      </c>
      <c r="AI50">
        <v>36.049999999999997</v>
      </c>
      <c r="AJ50">
        <v>38.683</v>
      </c>
    </row>
    <row r="51" spans="1:37" x14ac:dyDescent="0.25">
      <c r="D51">
        <v>90.259</v>
      </c>
      <c r="H51">
        <v>30.856999999999999</v>
      </c>
      <c r="I51">
        <v>32.462000000000003</v>
      </c>
      <c r="J51">
        <v>66.483999999999995</v>
      </c>
      <c r="X51">
        <v>60.142000000000003</v>
      </c>
      <c r="AD51">
        <v>53.451999999999998</v>
      </c>
      <c r="AE51">
        <v>51.984999999999999</v>
      </c>
      <c r="AI51">
        <v>44.88</v>
      </c>
      <c r="AJ51">
        <v>39.229999999999997</v>
      </c>
    </row>
    <row r="52" spans="1:37" x14ac:dyDescent="0.25">
      <c r="H52">
        <v>41.881999999999998</v>
      </c>
      <c r="I52">
        <v>16.478999999999999</v>
      </c>
      <c r="J52">
        <v>30.169</v>
      </c>
      <c r="X52">
        <v>60.973999999999997</v>
      </c>
      <c r="AD52">
        <v>49.64</v>
      </c>
      <c r="AE52">
        <v>60.070999999999998</v>
      </c>
      <c r="AI52">
        <v>31.963999999999999</v>
      </c>
      <c r="AJ52">
        <v>30.5</v>
      </c>
    </row>
    <row r="53" spans="1:37" x14ac:dyDescent="0.25">
      <c r="H53">
        <v>37.115000000000002</v>
      </c>
      <c r="I53">
        <v>15.384</v>
      </c>
      <c r="J53">
        <v>31.425999999999998</v>
      </c>
      <c r="X53">
        <v>59.302</v>
      </c>
      <c r="AD53">
        <v>42.140999999999998</v>
      </c>
      <c r="AE53">
        <v>71.156000000000006</v>
      </c>
      <c r="AI53">
        <v>55.914999999999999</v>
      </c>
    </row>
    <row r="54" spans="1:37" x14ac:dyDescent="0.25">
      <c r="H54">
        <v>28.204999999999998</v>
      </c>
      <c r="I54">
        <v>18.696000000000002</v>
      </c>
      <c r="J54">
        <v>34.869999999999997</v>
      </c>
      <c r="X54">
        <v>45.697000000000003</v>
      </c>
      <c r="AD54">
        <v>57.85</v>
      </c>
      <c r="AE54">
        <v>44.259</v>
      </c>
      <c r="AI54">
        <v>41.207000000000001</v>
      </c>
    </row>
    <row r="55" spans="1:37" x14ac:dyDescent="0.25">
      <c r="H55">
        <v>28.462</v>
      </c>
      <c r="I55">
        <v>13.602</v>
      </c>
      <c r="J55">
        <v>36.753999999999998</v>
      </c>
      <c r="AD55">
        <v>30.821999999999999</v>
      </c>
      <c r="AE55">
        <v>51.667000000000002</v>
      </c>
      <c r="AI55">
        <v>52.472000000000001</v>
      </c>
    </row>
    <row r="56" spans="1:37" x14ac:dyDescent="0.25">
      <c r="H56">
        <v>14.698</v>
      </c>
      <c r="I56">
        <v>17.231999999999999</v>
      </c>
      <c r="J56">
        <v>44.826000000000001</v>
      </c>
      <c r="AD56">
        <v>35.008000000000003</v>
      </c>
      <c r="AE56">
        <v>52.472999999999999</v>
      </c>
      <c r="AI56">
        <v>40.737000000000002</v>
      </c>
    </row>
    <row r="57" spans="1:37" x14ac:dyDescent="0.25">
      <c r="H57">
        <v>19.048999999999999</v>
      </c>
      <c r="I57">
        <v>48.927</v>
      </c>
      <c r="J57">
        <v>54.127000000000002</v>
      </c>
      <c r="AD57">
        <v>38.006999999999998</v>
      </c>
    </row>
    <row r="58" spans="1:37" x14ac:dyDescent="0.25">
      <c r="H58">
        <v>15.576000000000001</v>
      </c>
      <c r="I58">
        <v>44.972999999999999</v>
      </c>
      <c r="J58">
        <v>40.973999999999997</v>
      </c>
      <c r="AD58">
        <v>36.829000000000001</v>
      </c>
    </row>
    <row r="59" spans="1:37" x14ac:dyDescent="0.25">
      <c r="H59">
        <v>17.428999999999998</v>
      </c>
      <c r="J59">
        <v>71.400999999999996</v>
      </c>
      <c r="AD59">
        <v>29.079000000000001</v>
      </c>
    </row>
    <row r="60" spans="1:37" x14ac:dyDescent="0.25">
      <c r="H60">
        <v>14.981999999999999</v>
      </c>
      <c r="J60">
        <v>72.983999999999995</v>
      </c>
      <c r="AD60">
        <v>34.433999999999997</v>
      </c>
    </row>
    <row r="61" spans="1:37" x14ac:dyDescent="0.25">
      <c r="J61">
        <v>42.631999999999998</v>
      </c>
      <c r="AD61">
        <v>41.469000000000001</v>
      </c>
    </row>
    <row r="62" spans="1:37" x14ac:dyDescent="0.25">
      <c r="J62">
        <v>39.896999999999998</v>
      </c>
      <c r="AD62">
        <v>42.093000000000004</v>
      </c>
    </row>
    <row r="63" spans="1:37" x14ac:dyDescent="0.25">
      <c r="J63">
        <v>49.039000000000001</v>
      </c>
      <c r="AD63">
        <v>26.754000000000001</v>
      </c>
    </row>
    <row r="64" spans="1:37" x14ac:dyDescent="0.25">
      <c r="J64">
        <v>27.507999999999999</v>
      </c>
      <c r="AD64">
        <v>10.206</v>
      </c>
    </row>
    <row r="65" spans="10:30" x14ac:dyDescent="0.25">
      <c r="J65">
        <v>48.838000000000001</v>
      </c>
      <c r="AD65">
        <v>30.946000000000002</v>
      </c>
    </row>
    <row r="66" spans="10:30" x14ac:dyDescent="0.25">
      <c r="J66">
        <v>46.351999999999997</v>
      </c>
      <c r="AD66">
        <v>56.381999999999998</v>
      </c>
    </row>
    <row r="67" spans="10:30" x14ac:dyDescent="0.25">
      <c r="J67">
        <v>17.352</v>
      </c>
      <c r="AD67">
        <v>71.313999999999993</v>
      </c>
    </row>
    <row r="68" spans="10:30" x14ac:dyDescent="0.25">
      <c r="J68">
        <v>48.707999999999998</v>
      </c>
      <c r="AD68">
        <v>29.792999999999999</v>
      </c>
    </row>
    <row r="69" spans="10:30" x14ac:dyDescent="0.25">
      <c r="AD69">
        <v>40.725999999999999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80F7-629A-4A48-B09F-47A00E7E60F9}">
  <dimension ref="A1:H240"/>
  <sheetViews>
    <sheetView workbookViewId="0">
      <selection activeCell="I1" sqref="I1"/>
    </sheetView>
  </sheetViews>
  <sheetFormatPr defaultRowHeight="15" x14ac:dyDescent="0.25"/>
  <sheetData>
    <row r="1" spans="1:8" x14ac:dyDescent="0.25">
      <c r="A1" s="1" t="s">
        <v>11</v>
      </c>
      <c r="B1" s="1" t="s">
        <v>17</v>
      </c>
      <c r="C1" s="1" t="s">
        <v>23</v>
      </c>
      <c r="D1" s="1" t="s">
        <v>29</v>
      </c>
      <c r="E1" s="1" t="s">
        <v>35</v>
      </c>
      <c r="F1" s="1" t="s">
        <v>41</v>
      </c>
      <c r="G1" s="1" t="s">
        <v>47</v>
      </c>
      <c r="H1" s="1" t="s">
        <v>53</v>
      </c>
    </row>
    <row r="2" spans="1:8" x14ac:dyDescent="0.25">
      <c r="A2">
        <v>78.174999999999997</v>
      </c>
      <c r="B2">
        <v>36.055999999999997</v>
      </c>
      <c r="C2">
        <v>30.332999999999998</v>
      </c>
      <c r="D2">
        <v>29.988</v>
      </c>
      <c r="E2">
        <v>51.829000000000001</v>
      </c>
      <c r="F2">
        <v>46.957999999999998</v>
      </c>
      <c r="G2">
        <v>43.337000000000003</v>
      </c>
      <c r="H2">
        <v>77.997</v>
      </c>
    </row>
    <row r="3" spans="1:8" x14ac:dyDescent="0.25">
      <c r="A3">
        <v>24.058</v>
      </c>
      <c r="B3">
        <v>30.661999999999999</v>
      </c>
      <c r="C3">
        <v>42.601999999999997</v>
      </c>
      <c r="D3">
        <v>16.341999999999999</v>
      </c>
      <c r="E3">
        <v>45.027000000000001</v>
      </c>
      <c r="F3">
        <v>21.42</v>
      </c>
      <c r="G3">
        <v>46.593000000000004</v>
      </c>
      <c r="H3">
        <v>65.287999999999997</v>
      </c>
    </row>
    <row r="4" spans="1:8" x14ac:dyDescent="0.25">
      <c r="A4">
        <v>66.756</v>
      </c>
      <c r="B4">
        <v>30.524999999999999</v>
      </c>
      <c r="C4">
        <v>36.658999999999999</v>
      </c>
      <c r="D4">
        <v>18.495000000000001</v>
      </c>
      <c r="E4">
        <v>111.956</v>
      </c>
      <c r="F4">
        <v>23.053000000000001</v>
      </c>
      <c r="G4">
        <v>30.843</v>
      </c>
      <c r="H4">
        <v>76.186000000000007</v>
      </c>
    </row>
    <row r="5" spans="1:8" x14ac:dyDescent="0.25">
      <c r="A5">
        <v>47.051000000000002</v>
      </c>
      <c r="B5">
        <v>35.35</v>
      </c>
      <c r="C5">
        <v>38.564</v>
      </c>
      <c r="D5">
        <v>8.7430000000000003</v>
      </c>
      <c r="E5">
        <v>58.713999999999999</v>
      </c>
      <c r="F5">
        <v>18.809999999999999</v>
      </c>
      <c r="G5">
        <v>34.25</v>
      </c>
      <c r="H5">
        <v>74.938999999999993</v>
      </c>
    </row>
    <row r="6" spans="1:8" x14ac:dyDescent="0.25">
      <c r="A6">
        <v>61.942999999999998</v>
      </c>
      <c r="B6">
        <v>22.125</v>
      </c>
      <c r="C6">
        <v>29.74</v>
      </c>
      <c r="D6">
        <v>48.781999999999996</v>
      </c>
      <c r="E6">
        <v>29.315000000000001</v>
      </c>
      <c r="F6">
        <v>15.141</v>
      </c>
      <c r="G6">
        <v>42.048999999999999</v>
      </c>
      <c r="H6">
        <v>73.638999999999996</v>
      </c>
    </row>
    <row r="7" spans="1:8" x14ac:dyDescent="0.25">
      <c r="A7">
        <v>79.653999999999996</v>
      </c>
      <c r="B7">
        <v>33.847000000000001</v>
      </c>
      <c r="C7">
        <v>31.245999999999999</v>
      </c>
      <c r="D7">
        <v>38.85</v>
      </c>
      <c r="E7">
        <v>100.855</v>
      </c>
      <c r="F7">
        <v>14.337999999999999</v>
      </c>
      <c r="G7">
        <v>48.747999999999998</v>
      </c>
      <c r="H7">
        <v>57.164000000000001</v>
      </c>
    </row>
    <row r="8" spans="1:8" x14ac:dyDescent="0.25">
      <c r="A8">
        <v>84.751999999999995</v>
      </c>
      <c r="B8">
        <v>25.905000000000001</v>
      </c>
      <c r="C8">
        <v>31.673999999999999</v>
      </c>
      <c r="D8">
        <v>63.127000000000002</v>
      </c>
      <c r="E8">
        <v>128.387</v>
      </c>
      <c r="F8">
        <v>14.5</v>
      </c>
      <c r="G8">
        <v>40.551000000000002</v>
      </c>
      <c r="H8">
        <v>90.866</v>
      </c>
    </row>
    <row r="9" spans="1:8" x14ac:dyDescent="0.25">
      <c r="A9">
        <v>27.727</v>
      </c>
      <c r="B9">
        <v>22.38</v>
      </c>
      <c r="C9">
        <v>32.601999999999997</v>
      </c>
      <c r="D9">
        <v>46.057000000000002</v>
      </c>
      <c r="E9">
        <v>70.361000000000004</v>
      </c>
      <c r="F9">
        <v>4.282</v>
      </c>
      <c r="G9">
        <v>21.605</v>
      </c>
      <c r="H9">
        <v>89.397000000000006</v>
      </c>
    </row>
    <row r="10" spans="1:8" x14ac:dyDescent="0.25">
      <c r="A10">
        <v>58.369</v>
      </c>
      <c r="B10">
        <v>18.831</v>
      </c>
      <c r="C10">
        <v>27.198</v>
      </c>
      <c r="D10">
        <v>57.606000000000002</v>
      </c>
      <c r="E10">
        <v>106.227</v>
      </c>
      <c r="F10">
        <v>21.952999999999999</v>
      </c>
      <c r="G10">
        <v>37.893000000000001</v>
      </c>
      <c r="H10">
        <v>58.762</v>
      </c>
    </row>
    <row r="11" spans="1:8" x14ac:dyDescent="0.25">
      <c r="A11">
        <v>69.724999999999994</v>
      </c>
      <c r="B11">
        <v>18.141999999999999</v>
      </c>
      <c r="C11">
        <v>37.133000000000003</v>
      </c>
      <c r="D11">
        <v>33.491</v>
      </c>
      <c r="E11">
        <v>114</v>
      </c>
      <c r="F11">
        <v>46.231999999999999</v>
      </c>
      <c r="G11">
        <v>50.524000000000001</v>
      </c>
      <c r="H11">
        <v>89.552999999999997</v>
      </c>
    </row>
    <row r="12" spans="1:8" x14ac:dyDescent="0.25">
      <c r="A12">
        <v>38.823</v>
      </c>
      <c r="B12">
        <v>26.925999999999998</v>
      </c>
      <c r="C12">
        <v>19.091999999999999</v>
      </c>
      <c r="D12">
        <v>15.968999999999999</v>
      </c>
      <c r="E12">
        <v>41.621000000000002</v>
      </c>
      <c r="F12">
        <v>24.286000000000001</v>
      </c>
      <c r="G12">
        <v>20.401</v>
      </c>
      <c r="H12">
        <v>57.134999999999998</v>
      </c>
    </row>
    <row r="13" spans="1:8" x14ac:dyDescent="0.25">
      <c r="A13">
        <v>54.039000000000001</v>
      </c>
      <c r="B13">
        <v>35.369999999999997</v>
      </c>
      <c r="C13">
        <v>19.277999999999999</v>
      </c>
      <c r="D13">
        <v>42.206000000000003</v>
      </c>
      <c r="E13">
        <v>18.942</v>
      </c>
      <c r="F13">
        <v>29.178999999999998</v>
      </c>
      <c r="G13">
        <v>31.763000000000002</v>
      </c>
      <c r="H13">
        <v>58.545000000000002</v>
      </c>
    </row>
    <row r="14" spans="1:8" x14ac:dyDescent="0.25">
      <c r="A14">
        <v>71.947000000000003</v>
      </c>
      <c r="B14">
        <v>25.954999999999998</v>
      </c>
      <c r="C14">
        <v>27.227</v>
      </c>
      <c r="D14">
        <v>49.152000000000001</v>
      </c>
      <c r="E14">
        <v>133.60900000000001</v>
      </c>
      <c r="F14">
        <v>42.45</v>
      </c>
      <c r="G14">
        <v>24.661000000000001</v>
      </c>
      <c r="H14">
        <v>51.44</v>
      </c>
    </row>
    <row r="15" spans="1:8" x14ac:dyDescent="0.25">
      <c r="A15">
        <v>50.436</v>
      </c>
      <c r="B15">
        <v>23.905000000000001</v>
      </c>
      <c r="C15">
        <v>18.282</v>
      </c>
      <c r="D15">
        <v>23.94</v>
      </c>
      <c r="E15">
        <v>67.789000000000001</v>
      </c>
      <c r="F15">
        <v>25.936</v>
      </c>
      <c r="G15">
        <v>39.271000000000001</v>
      </c>
      <c r="H15">
        <v>75.037999999999997</v>
      </c>
    </row>
    <row r="16" spans="1:8" x14ac:dyDescent="0.25">
      <c r="A16">
        <v>35.404000000000003</v>
      </c>
      <c r="B16">
        <v>23.734999999999999</v>
      </c>
      <c r="C16">
        <v>21.972999999999999</v>
      </c>
      <c r="D16">
        <v>33.258000000000003</v>
      </c>
      <c r="E16">
        <v>71.492999999999995</v>
      </c>
      <c r="F16">
        <v>23.334</v>
      </c>
      <c r="G16">
        <v>33.445</v>
      </c>
      <c r="H16">
        <v>57.707000000000001</v>
      </c>
    </row>
    <row r="17" spans="1:8" x14ac:dyDescent="0.25">
      <c r="A17">
        <v>52.472999999999999</v>
      </c>
      <c r="B17">
        <v>35.854999999999997</v>
      </c>
      <c r="C17">
        <v>18.109000000000002</v>
      </c>
      <c r="D17">
        <v>37.972999999999999</v>
      </c>
      <c r="E17">
        <v>52.76</v>
      </c>
      <c r="F17">
        <v>34.75</v>
      </c>
      <c r="G17">
        <v>43.265000000000001</v>
      </c>
      <c r="H17">
        <v>79.662000000000006</v>
      </c>
    </row>
    <row r="18" spans="1:8" x14ac:dyDescent="0.25">
      <c r="A18">
        <v>59.140999999999998</v>
      </c>
      <c r="B18">
        <v>24.577000000000002</v>
      </c>
      <c r="C18">
        <v>15.926</v>
      </c>
      <c r="D18">
        <v>42.918999999999997</v>
      </c>
      <c r="E18">
        <v>19.951000000000001</v>
      </c>
      <c r="F18">
        <v>40.03</v>
      </c>
      <c r="G18">
        <v>41.786999999999999</v>
      </c>
      <c r="H18">
        <v>59.472000000000001</v>
      </c>
    </row>
    <row r="19" spans="1:8" x14ac:dyDescent="0.25">
      <c r="A19">
        <v>81.781999999999996</v>
      </c>
      <c r="B19">
        <v>29.734999999999999</v>
      </c>
      <c r="C19">
        <v>20.202000000000002</v>
      </c>
      <c r="D19">
        <v>37.561999999999998</v>
      </c>
      <c r="E19">
        <v>92.218000000000004</v>
      </c>
      <c r="F19">
        <v>35.365000000000002</v>
      </c>
      <c r="G19">
        <v>44.101999999999997</v>
      </c>
      <c r="H19">
        <v>56.07</v>
      </c>
    </row>
    <row r="20" spans="1:8" x14ac:dyDescent="0.25">
      <c r="A20">
        <v>78.216999999999999</v>
      </c>
      <c r="B20">
        <v>28.632000000000001</v>
      </c>
      <c r="C20">
        <v>17.954000000000001</v>
      </c>
      <c r="D20">
        <v>30.603999999999999</v>
      </c>
      <c r="E20">
        <v>37.716000000000001</v>
      </c>
      <c r="F20">
        <v>29.291</v>
      </c>
      <c r="G20">
        <v>35.167000000000002</v>
      </c>
      <c r="H20">
        <v>74.209999999999994</v>
      </c>
    </row>
    <row r="21" spans="1:8" x14ac:dyDescent="0.25">
      <c r="A21">
        <v>61.637999999999998</v>
      </c>
      <c r="B21">
        <v>16.433</v>
      </c>
      <c r="C21">
        <v>23.513000000000002</v>
      </c>
      <c r="D21">
        <v>25.734999999999999</v>
      </c>
      <c r="E21">
        <v>51.682000000000002</v>
      </c>
      <c r="F21">
        <v>29.971</v>
      </c>
      <c r="G21">
        <v>39.994999999999997</v>
      </c>
      <c r="H21">
        <v>57.883000000000003</v>
      </c>
    </row>
    <row r="22" spans="1:8" x14ac:dyDescent="0.25">
      <c r="A22">
        <v>66.771000000000001</v>
      </c>
      <c r="B22">
        <v>21.312000000000001</v>
      </c>
      <c r="C22">
        <v>14.523</v>
      </c>
      <c r="D22">
        <v>20.006</v>
      </c>
      <c r="E22">
        <v>46.994999999999997</v>
      </c>
      <c r="F22">
        <v>31.196999999999999</v>
      </c>
      <c r="G22">
        <v>45.497</v>
      </c>
      <c r="H22">
        <v>65.417000000000002</v>
      </c>
    </row>
    <row r="23" spans="1:8" x14ac:dyDescent="0.25">
      <c r="A23">
        <v>73.876000000000005</v>
      </c>
      <c r="B23">
        <v>47.493000000000002</v>
      </c>
      <c r="C23">
        <v>15.79</v>
      </c>
      <c r="D23">
        <v>24.231000000000002</v>
      </c>
      <c r="E23">
        <v>76.024000000000001</v>
      </c>
      <c r="F23">
        <v>21.189</v>
      </c>
      <c r="G23">
        <v>33.462000000000003</v>
      </c>
      <c r="H23">
        <v>67.156999999999996</v>
      </c>
    </row>
    <row r="24" spans="1:8" x14ac:dyDescent="0.25">
      <c r="A24">
        <v>60.81</v>
      </c>
      <c r="B24">
        <v>21.466000000000001</v>
      </c>
      <c r="C24">
        <v>30.312999999999999</v>
      </c>
      <c r="D24">
        <v>45.7</v>
      </c>
      <c r="E24">
        <v>93.173000000000002</v>
      </c>
      <c r="F24">
        <v>40.027000000000001</v>
      </c>
      <c r="G24">
        <v>48.475999999999999</v>
      </c>
      <c r="H24">
        <v>58.048000000000002</v>
      </c>
    </row>
    <row r="25" spans="1:8" x14ac:dyDescent="0.25">
      <c r="A25">
        <v>71.198999999999998</v>
      </c>
      <c r="B25">
        <v>30.056999999999999</v>
      </c>
      <c r="C25">
        <v>29.766999999999999</v>
      </c>
      <c r="D25">
        <v>22.219000000000001</v>
      </c>
      <c r="E25">
        <v>106.182</v>
      </c>
      <c r="F25">
        <v>33.021999999999998</v>
      </c>
      <c r="G25">
        <v>96.528999999999996</v>
      </c>
      <c r="H25">
        <v>48.951000000000001</v>
      </c>
    </row>
    <row r="26" spans="1:8" x14ac:dyDescent="0.25">
      <c r="A26">
        <v>57.131</v>
      </c>
      <c r="B26">
        <v>26.300999999999998</v>
      </c>
      <c r="C26">
        <v>15.026</v>
      </c>
      <c r="D26">
        <v>44.54</v>
      </c>
      <c r="E26">
        <v>38.664999999999999</v>
      </c>
      <c r="F26">
        <v>38.765999999999998</v>
      </c>
      <c r="G26">
        <v>23.844000000000001</v>
      </c>
      <c r="H26">
        <v>48.061999999999998</v>
      </c>
    </row>
    <row r="27" spans="1:8" x14ac:dyDescent="0.25">
      <c r="A27">
        <v>50.155999999999999</v>
      </c>
      <c r="B27">
        <v>23.23</v>
      </c>
      <c r="C27">
        <v>18.338000000000001</v>
      </c>
      <c r="D27">
        <v>37.170999999999999</v>
      </c>
      <c r="E27">
        <v>24.042999999999999</v>
      </c>
      <c r="F27">
        <v>45.954999999999998</v>
      </c>
      <c r="G27">
        <v>34.5</v>
      </c>
      <c r="H27">
        <v>61.337000000000003</v>
      </c>
    </row>
    <row r="28" spans="1:8" x14ac:dyDescent="0.25">
      <c r="A28">
        <v>52.694000000000003</v>
      </c>
      <c r="B28">
        <v>17.187999999999999</v>
      </c>
      <c r="C28">
        <v>34.713000000000001</v>
      </c>
      <c r="D28">
        <v>20.486000000000001</v>
      </c>
      <c r="E28">
        <v>87.951999999999998</v>
      </c>
      <c r="F28">
        <v>27.978000000000002</v>
      </c>
      <c r="G28">
        <v>33.207999999999998</v>
      </c>
      <c r="H28">
        <v>68.024000000000001</v>
      </c>
    </row>
    <row r="29" spans="1:8" x14ac:dyDescent="0.25">
      <c r="A29">
        <v>92.837000000000003</v>
      </c>
      <c r="B29">
        <v>22.940999999999999</v>
      </c>
      <c r="C29">
        <v>29.428000000000001</v>
      </c>
      <c r="D29">
        <v>51.265999999999998</v>
      </c>
      <c r="E29">
        <v>98.638000000000005</v>
      </c>
      <c r="F29">
        <v>37.188000000000002</v>
      </c>
      <c r="G29">
        <v>34.597999999999999</v>
      </c>
      <c r="H29">
        <v>65.617000000000004</v>
      </c>
    </row>
    <row r="30" spans="1:8" x14ac:dyDescent="0.25">
      <c r="A30">
        <v>46.912999999999997</v>
      </c>
      <c r="B30">
        <v>25.542999999999999</v>
      </c>
      <c r="C30">
        <v>28.396999999999998</v>
      </c>
      <c r="D30">
        <v>37.619</v>
      </c>
      <c r="E30">
        <v>37.676000000000002</v>
      </c>
      <c r="F30">
        <v>36.765999999999998</v>
      </c>
      <c r="G30">
        <v>47.677999999999997</v>
      </c>
      <c r="H30">
        <v>80.177000000000007</v>
      </c>
    </row>
    <row r="31" spans="1:8" x14ac:dyDescent="0.25">
      <c r="A31">
        <v>59.255000000000003</v>
      </c>
      <c r="B31">
        <v>36.271999999999998</v>
      </c>
      <c r="C31">
        <v>20.635999999999999</v>
      </c>
      <c r="D31">
        <v>8.0749999999999993</v>
      </c>
      <c r="E31">
        <v>65.313000000000002</v>
      </c>
      <c r="F31">
        <v>35.564</v>
      </c>
      <c r="G31">
        <v>40.533000000000001</v>
      </c>
      <c r="H31">
        <v>73.692999999999998</v>
      </c>
    </row>
    <row r="32" spans="1:8" x14ac:dyDescent="0.25">
      <c r="A32">
        <v>57.604999999999997</v>
      </c>
      <c r="B32">
        <v>29.975999999999999</v>
      </c>
      <c r="C32">
        <v>23.457000000000001</v>
      </c>
      <c r="D32">
        <v>22.544</v>
      </c>
      <c r="E32">
        <v>63.756</v>
      </c>
      <c r="F32">
        <v>26.577000000000002</v>
      </c>
      <c r="G32">
        <v>34.822000000000003</v>
      </c>
      <c r="H32">
        <v>55.938000000000002</v>
      </c>
    </row>
    <row r="33" spans="1:8" x14ac:dyDescent="0.25">
      <c r="A33">
        <v>55.567</v>
      </c>
      <c r="B33">
        <v>23.378</v>
      </c>
      <c r="C33">
        <v>13.913</v>
      </c>
      <c r="D33">
        <v>24.934000000000001</v>
      </c>
      <c r="E33">
        <v>128.03800000000001</v>
      </c>
      <c r="F33">
        <v>35.719000000000001</v>
      </c>
      <c r="G33">
        <v>28.405000000000001</v>
      </c>
      <c r="H33">
        <v>43.838999999999999</v>
      </c>
    </row>
    <row r="34" spans="1:8" x14ac:dyDescent="0.25">
      <c r="A34">
        <v>74.619</v>
      </c>
      <c r="B34">
        <v>20.28</v>
      </c>
      <c r="C34">
        <v>22.286999999999999</v>
      </c>
      <c r="D34">
        <v>39.704999999999998</v>
      </c>
      <c r="E34">
        <v>102.517</v>
      </c>
      <c r="F34">
        <v>24.398</v>
      </c>
      <c r="G34">
        <v>36.262</v>
      </c>
      <c r="H34">
        <v>61.27</v>
      </c>
    </row>
    <row r="35" spans="1:8" x14ac:dyDescent="0.25">
      <c r="A35">
        <v>33.633000000000003</v>
      </c>
      <c r="B35">
        <v>21.073</v>
      </c>
      <c r="C35">
        <v>18.681999999999999</v>
      </c>
      <c r="D35">
        <v>57.265000000000001</v>
      </c>
      <c r="E35">
        <v>102.92400000000001</v>
      </c>
      <c r="F35">
        <v>25.427</v>
      </c>
      <c r="G35">
        <v>17.937999999999999</v>
      </c>
      <c r="H35">
        <v>67.617999999999995</v>
      </c>
    </row>
    <row r="36" spans="1:8" x14ac:dyDescent="0.25">
      <c r="A36">
        <v>55.387</v>
      </c>
      <c r="B36">
        <v>21.297000000000001</v>
      </c>
      <c r="C36">
        <v>25.844000000000001</v>
      </c>
      <c r="D36">
        <v>9.1310000000000002</v>
      </c>
      <c r="E36">
        <v>54.241</v>
      </c>
      <c r="F36">
        <v>27.666</v>
      </c>
      <c r="G36">
        <v>32.115000000000002</v>
      </c>
      <c r="H36">
        <v>72.256</v>
      </c>
    </row>
    <row r="37" spans="1:8" x14ac:dyDescent="0.25">
      <c r="A37">
        <v>51.002000000000002</v>
      </c>
      <c r="B37">
        <v>18.544</v>
      </c>
      <c r="C37">
        <v>20.026</v>
      </c>
      <c r="D37">
        <v>4.4870000000000001</v>
      </c>
      <c r="E37">
        <v>120.795</v>
      </c>
      <c r="F37">
        <v>28.029</v>
      </c>
      <c r="G37">
        <v>25.111999999999998</v>
      </c>
      <c r="H37">
        <v>47.097999999999999</v>
      </c>
    </row>
    <row r="38" spans="1:8" x14ac:dyDescent="0.25">
      <c r="A38">
        <v>25.815000000000001</v>
      </c>
      <c r="B38">
        <v>25.172999999999998</v>
      </c>
      <c r="C38">
        <v>20.023</v>
      </c>
      <c r="D38">
        <v>29.585999999999999</v>
      </c>
      <c r="E38">
        <v>105.04900000000001</v>
      </c>
      <c r="F38">
        <v>28.538</v>
      </c>
      <c r="G38">
        <v>25.201000000000001</v>
      </c>
      <c r="H38">
        <v>76.564999999999998</v>
      </c>
    </row>
    <row r="39" spans="1:8" x14ac:dyDescent="0.25">
      <c r="A39">
        <v>67.709000000000003</v>
      </c>
      <c r="B39">
        <v>24.382000000000001</v>
      </c>
      <c r="C39">
        <v>15.076000000000001</v>
      </c>
      <c r="D39">
        <v>31.827999999999999</v>
      </c>
      <c r="E39">
        <v>44.831000000000003</v>
      </c>
      <c r="F39">
        <v>52.078000000000003</v>
      </c>
      <c r="G39">
        <v>21.216000000000001</v>
      </c>
      <c r="H39">
        <v>59.56</v>
      </c>
    </row>
    <row r="40" spans="1:8" x14ac:dyDescent="0.25">
      <c r="A40">
        <v>85.694999999999993</v>
      </c>
      <c r="B40">
        <v>23.995999999999999</v>
      </c>
      <c r="C40">
        <v>15.692</v>
      </c>
      <c r="D40">
        <v>34.856000000000002</v>
      </c>
      <c r="E40">
        <v>35.991999999999997</v>
      </c>
      <c r="F40">
        <v>29.623999999999999</v>
      </c>
      <c r="G40">
        <v>19.312999999999999</v>
      </c>
      <c r="H40">
        <v>46.459000000000003</v>
      </c>
    </row>
    <row r="41" spans="1:8" x14ac:dyDescent="0.25">
      <c r="A41">
        <v>93.462999999999994</v>
      </c>
      <c r="B41">
        <v>24.498000000000001</v>
      </c>
      <c r="C41">
        <v>12.452999999999999</v>
      </c>
      <c r="D41">
        <v>48.728000000000002</v>
      </c>
      <c r="E41">
        <v>84.352999999999994</v>
      </c>
      <c r="F41">
        <v>41.433</v>
      </c>
      <c r="G41">
        <v>20.751000000000001</v>
      </c>
      <c r="H41">
        <v>67.366</v>
      </c>
    </row>
    <row r="42" spans="1:8" x14ac:dyDescent="0.25">
      <c r="A42">
        <v>76.120999999999995</v>
      </c>
      <c r="B42">
        <v>18.539000000000001</v>
      </c>
      <c r="C42">
        <v>12.622999999999999</v>
      </c>
      <c r="D42">
        <v>42.975000000000001</v>
      </c>
      <c r="E42">
        <v>80.061000000000007</v>
      </c>
      <c r="F42">
        <v>34.061</v>
      </c>
      <c r="G42">
        <v>23.172000000000001</v>
      </c>
      <c r="H42">
        <v>57.302999999999997</v>
      </c>
    </row>
    <row r="43" spans="1:8" x14ac:dyDescent="0.25">
      <c r="A43">
        <v>58.512</v>
      </c>
      <c r="B43">
        <v>16.609000000000002</v>
      </c>
      <c r="C43">
        <v>27.552</v>
      </c>
      <c r="D43">
        <v>24.047000000000001</v>
      </c>
      <c r="E43">
        <v>106.929</v>
      </c>
      <c r="F43">
        <v>41.320999999999998</v>
      </c>
      <c r="G43">
        <v>26.977</v>
      </c>
      <c r="H43">
        <v>24.975999999999999</v>
      </c>
    </row>
    <row r="44" spans="1:8" x14ac:dyDescent="0.25">
      <c r="A44">
        <v>23.48</v>
      </c>
      <c r="B44">
        <v>19.395</v>
      </c>
      <c r="C44">
        <v>16.902999999999999</v>
      </c>
      <c r="D44">
        <v>15.707000000000001</v>
      </c>
      <c r="E44">
        <v>54.075000000000003</v>
      </c>
      <c r="F44">
        <v>35.555</v>
      </c>
      <c r="G44">
        <v>20.6</v>
      </c>
      <c r="H44">
        <v>47.45</v>
      </c>
    </row>
    <row r="45" spans="1:8" x14ac:dyDescent="0.25">
      <c r="A45">
        <v>72.775999999999996</v>
      </c>
      <c r="B45">
        <v>19.396999999999998</v>
      </c>
      <c r="C45">
        <v>23.574000000000002</v>
      </c>
      <c r="D45">
        <v>46.271000000000001</v>
      </c>
      <c r="E45">
        <v>70.221999999999994</v>
      </c>
      <c r="F45">
        <v>40.746000000000002</v>
      </c>
      <c r="G45">
        <v>24.376000000000001</v>
      </c>
      <c r="H45">
        <v>36.985999999999997</v>
      </c>
    </row>
    <row r="46" spans="1:8" x14ac:dyDescent="0.25">
      <c r="A46">
        <v>66.77</v>
      </c>
      <c r="B46">
        <v>25.064</v>
      </c>
      <c r="C46">
        <v>21.82</v>
      </c>
      <c r="D46">
        <v>56.241999999999997</v>
      </c>
      <c r="E46">
        <v>57.796999999999997</v>
      </c>
      <c r="F46">
        <v>45.545000000000002</v>
      </c>
      <c r="G46">
        <v>21.384</v>
      </c>
      <c r="H46">
        <v>19.471</v>
      </c>
    </row>
    <row r="47" spans="1:8" x14ac:dyDescent="0.25">
      <c r="A47">
        <v>28.462</v>
      </c>
      <c r="B47">
        <v>29.071000000000002</v>
      </c>
      <c r="C47">
        <v>40.323</v>
      </c>
      <c r="D47">
        <v>15.96</v>
      </c>
      <c r="E47">
        <v>60.911999999999999</v>
      </c>
      <c r="F47">
        <v>45.478999999999999</v>
      </c>
      <c r="G47">
        <v>17.283000000000001</v>
      </c>
      <c r="H47">
        <v>35.811</v>
      </c>
    </row>
    <row r="48" spans="1:8" x14ac:dyDescent="0.25">
      <c r="A48">
        <v>75.534999999999997</v>
      </c>
      <c r="B48">
        <v>24.024999999999999</v>
      </c>
      <c r="C48">
        <v>31.376000000000001</v>
      </c>
      <c r="D48">
        <v>8.2200000000000006</v>
      </c>
      <c r="E48">
        <v>59.537999999999997</v>
      </c>
      <c r="F48">
        <v>38.951999999999998</v>
      </c>
      <c r="G48">
        <v>19.574000000000002</v>
      </c>
      <c r="H48">
        <v>20.254999999999999</v>
      </c>
    </row>
    <row r="49" spans="1:8" x14ac:dyDescent="0.25">
      <c r="A49">
        <v>106.80500000000001</v>
      </c>
      <c r="B49">
        <v>24.672000000000001</v>
      </c>
      <c r="C49">
        <v>27.184000000000001</v>
      </c>
      <c r="D49">
        <v>10.977</v>
      </c>
      <c r="E49">
        <v>53.377000000000002</v>
      </c>
      <c r="F49">
        <v>19.905000000000001</v>
      </c>
      <c r="G49">
        <v>17.492999999999999</v>
      </c>
      <c r="H49">
        <v>85.114000000000004</v>
      </c>
    </row>
    <row r="50" spans="1:8" x14ac:dyDescent="0.25">
      <c r="A50">
        <v>78.317999999999998</v>
      </c>
      <c r="B50">
        <v>23.876999999999999</v>
      </c>
      <c r="C50">
        <v>36.338999999999999</v>
      </c>
      <c r="D50">
        <v>16.059000000000001</v>
      </c>
      <c r="E50">
        <v>32.585000000000001</v>
      </c>
      <c r="F50">
        <v>36.197000000000003</v>
      </c>
      <c r="G50">
        <v>18.161000000000001</v>
      </c>
      <c r="H50">
        <v>111.114</v>
      </c>
    </row>
    <row r="51" spans="1:8" x14ac:dyDescent="0.25">
      <c r="A51">
        <v>68.489999999999995</v>
      </c>
      <c r="B51">
        <v>15.32</v>
      </c>
      <c r="C51">
        <v>39.225000000000001</v>
      </c>
      <c r="D51">
        <v>30.856999999999999</v>
      </c>
      <c r="E51">
        <v>36.707000000000001</v>
      </c>
      <c r="F51">
        <v>27.209</v>
      </c>
      <c r="G51">
        <v>18.856000000000002</v>
      </c>
      <c r="H51">
        <v>76.283000000000001</v>
      </c>
    </row>
    <row r="52" spans="1:8" x14ac:dyDescent="0.25">
      <c r="A52">
        <v>88.605000000000004</v>
      </c>
      <c r="B52">
        <v>31.925000000000001</v>
      </c>
      <c r="C52">
        <v>15.315</v>
      </c>
      <c r="D52">
        <v>41.881999999999998</v>
      </c>
      <c r="E52">
        <v>68.376000000000005</v>
      </c>
      <c r="F52">
        <v>32.143999999999998</v>
      </c>
      <c r="G52">
        <v>19.786000000000001</v>
      </c>
      <c r="H52">
        <v>66.978999999999999</v>
      </c>
    </row>
    <row r="53" spans="1:8" x14ac:dyDescent="0.25">
      <c r="A53">
        <v>84.045000000000002</v>
      </c>
      <c r="B53">
        <v>31.306000000000001</v>
      </c>
      <c r="C53">
        <v>22.442</v>
      </c>
      <c r="D53">
        <v>37.115000000000002</v>
      </c>
      <c r="E53">
        <v>76.911000000000001</v>
      </c>
      <c r="F53">
        <v>38.567</v>
      </c>
      <c r="G53">
        <v>22.068999999999999</v>
      </c>
      <c r="H53">
        <v>69.260000000000005</v>
      </c>
    </row>
    <row r="54" spans="1:8" x14ac:dyDescent="0.25">
      <c r="A54">
        <v>83.944000000000003</v>
      </c>
      <c r="B54">
        <v>53.06</v>
      </c>
      <c r="C54">
        <v>25.26</v>
      </c>
      <c r="D54">
        <v>28.204999999999998</v>
      </c>
      <c r="E54">
        <v>65.819000000000003</v>
      </c>
      <c r="F54">
        <v>28.039000000000001</v>
      </c>
      <c r="G54">
        <v>22.248999999999999</v>
      </c>
      <c r="H54">
        <v>86.201999999999998</v>
      </c>
    </row>
    <row r="55" spans="1:8" x14ac:dyDescent="0.25">
      <c r="A55">
        <v>76.412000000000006</v>
      </c>
      <c r="B55">
        <v>55.143999999999998</v>
      </c>
      <c r="C55">
        <v>27.664000000000001</v>
      </c>
      <c r="D55">
        <v>28.462</v>
      </c>
      <c r="E55">
        <v>35.756</v>
      </c>
      <c r="F55">
        <v>30.567</v>
      </c>
      <c r="G55">
        <v>21.524000000000001</v>
      </c>
      <c r="H55">
        <v>82.352000000000004</v>
      </c>
    </row>
    <row r="56" spans="1:8" x14ac:dyDescent="0.25">
      <c r="A56">
        <v>78.290000000000006</v>
      </c>
      <c r="B56">
        <v>73.085999999999999</v>
      </c>
      <c r="C56">
        <v>24.004999999999999</v>
      </c>
      <c r="D56">
        <v>14.698</v>
      </c>
      <c r="E56">
        <v>34.747999999999998</v>
      </c>
      <c r="F56">
        <v>60.32</v>
      </c>
      <c r="G56">
        <v>16.094000000000001</v>
      </c>
      <c r="H56">
        <v>62.716000000000001</v>
      </c>
    </row>
    <row r="57" spans="1:8" x14ac:dyDescent="0.25">
      <c r="A57">
        <v>69.558000000000007</v>
      </c>
      <c r="B57">
        <v>82.92</v>
      </c>
      <c r="C57">
        <v>23.437999999999999</v>
      </c>
      <c r="D57">
        <v>19.048999999999999</v>
      </c>
      <c r="E57">
        <v>27.152999999999999</v>
      </c>
      <c r="F57">
        <v>48.921999999999997</v>
      </c>
      <c r="G57">
        <v>65.602999999999994</v>
      </c>
      <c r="H57">
        <v>83.236000000000004</v>
      </c>
    </row>
    <row r="58" spans="1:8" x14ac:dyDescent="0.25">
      <c r="A58">
        <v>31.542000000000002</v>
      </c>
      <c r="B58">
        <v>35.395000000000003</v>
      </c>
      <c r="C58">
        <v>21.7</v>
      </c>
      <c r="D58">
        <v>15.576000000000001</v>
      </c>
      <c r="E58">
        <v>41.645000000000003</v>
      </c>
      <c r="F58">
        <v>45.645000000000003</v>
      </c>
      <c r="G58">
        <v>73.796999999999997</v>
      </c>
      <c r="H58">
        <v>84.775000000000006</v>
      </c>
    </row>
    <row r="59" spans="1:8" x14ac:dyDescent="0.25">
      <c r="A59">
        <v>83.204999999999998</v>
      </c>
      <c r="B59">
        <v>53.959000000000003</v>
      </c>
      <c r="C59">
        <v>17.585999999999999</v>
      </c>
      <c r="D59">
        <v>17.428999999999998</v>
      </c>
      <c r="E59">
        <v>50.838000000000001</v>
      </c>
      <c r="F59">
        <v>31.678000000000001</v>
      </c>
      <c r="G59">
        <v>44.421999999999997</v>
      </c>
      <c r="H59">
        <v>76.878</v>
      </c>
    </row>
    <row r="60" spans="1:8" x14ac:dyDescent="0.25">
      <c r="A60">
        <v>80.128</v>
      </c>
      <c r="B60">
        <v>51.564999999999998</v>
      </c>
      <c r="C60">
        <v>15.007999999999999</v>
      </c>
      <c r="D60">
        <v>14.981999999999999</v>
      </c>
      <c r="E60">
        <v>52.040999999999997</v>
      </c>
      <c r="F60">
        <v>55.110999999999997</v>
      </c>
      <c r="G60">
        <v>26.53</v>
      </c>
      <c r="H60">
        <v>53.661999999999999</v>
      </c>
    </row>
    <row r="61" spans="1:8" x14ac:dyDescent="0.25">
      <c r="A61">
        <v>65.822999999999993</v>
      </c>
      <c r="B61">
        <v>51.722999999999999</v>
      </c>
      <c r="C61">
        <v>27.686</v>
      </c>
      <c r="D61">
        <v>44.649000000000001</v>
      </c>
      <c r="E61">
        <v>50.423999999999999</v>
      </c>
      <c r="F61">
        <v>50.168999999999997</v>
      </c>
      <c r="G61">
        <v>42.386000000000003</v>
      </c>
      <c r="H61">
        <v>55.869</v>
      </c>
    </row>
    <row r="62" spans="1:8" x14ac:dyDescent="0.25">
      <c r="A62">
        <v>57.783000000000001</v>
      </c>
      <c r="B62">
        <v>47.715000000000003</v>
      </c>
      <c r="C62">
        <v>32.765000000000001</v>
      </c>
      <c r="D62">
        <v>62.332999999999998</v>
      </c>
      <c r="E62">
        <v>17.510999999999999</v>
      </c>
      <c r="F62">
        <v>49.796999999999997</v>
      </c>
      <c r="G62">
        <v>51.723999999999997</v>
      </c>
      <c r="H62">
        <v>39.055999999999997</v>
      </c>
    </row>
    <row r="63" spans="1:8" x14ac:dyDescent="0.25">
      <c r="A63">
        <v>75.344999999999999</v>
      </c>
      <c r="B63">
        <v>53.225000000000001</v>
      </c>
      <c r="C63">
        <v>25.001999999999999</v>
      </c>
      <c r="D63">
        <v>58.314999999999998</v>
      </c>
      <c r="E63">
        <v>50.057000000000002</v>
      </c>
      <c r="F63">
        <v>57.424999999999997</v>
      </c>
      <c r="G63">
        <v>27.222000000000001</v>
      </c>
      <c r="H63">
        <v>55.024999999999999</v>
      </c>
    </row>
    <row r="64" spans="1:8" x14ac:dyDescent="0.25">
      <c r="A64">
        <v>74.617999999999995</v>
      </c>
      <c r="B64">
        <v>72.438000000000002</v>
      </c>
      <c r="C64">
        <v>28.611000000000001</v>
      </c>
      <c r="D64">
        <v>45.863</v>
      </c>
      <c r="E64">
        <v>49.887999999999998</v>
      </c>
      <c r="F64">
        <v>60.433999999999997</v>
      </c>
      <c r="G64">
        <v>41.587000000000003</v>
      </c>
      <c r="H64">
        <v>73.301000000000002</v>
      </c>
    </row>
    <row r="65" spans="1:8" x14ac:dyDescent="0.25">
      <c r="A65">
        <v>35.585000000000001</v>
      </c>
      <c r="B65">
        <v>66.769000000000005</v>
      </c>
      <c r="C65">
        <v>23.460999999999999</v>
      </c>
      <c r="D65">
        <v>32.177999999999997</v>
      </c>
      <c r="E65">
        <v>40.465000000000003</v>
      </c>
      <c r="F65">
        <v>74.322000000000003</v>
      </c>
      <c r="G65">
        <v>19.141999999999999</v>
      </c>
      <c r="H65">
        <v>77.185000000000002</v>
      </c>
    </row>
    <row r="66" spans="1:8" x14ac:dyDescent="0.25">
      <c r="A66">
        <v>70.510999999999996</v>
      </c>
      <c r="B66">
        <v>52.185000000000002</v>
      </c>
      <c r="C66">
        <v>30.466999999999999</v>
      </c>
      <c r="D66">
        <v>37.603000000000002</v>
      </c>
      <c r="E66">
        <v>71.358000000000004</v>
      </c>
      <c r="F66">
        <v>47.494</v>
      </c>
      <c r="G66">
        <v>31.826000000000001</v>
      </c>
      <c r="H66">
        <v>68.849000000000004</v>
      </c>
    </row>
    <row r="67" spans="1:8" x14ac:dyDescent="0.25">
      <c r="A67">
        <v>63.104999999999997</v>
      </c>
      <c r="B67">
        <v>33.578000000000003</v>
      </c>
      <c r="C67">
        <v>31.754000000000001</v>
      </c>
      <c r="D67">
        <v>45.636000000000003</v>
      </c>
      <c r="E67">
        <v>51.680999999999997</v>
      </c>
      <c r="F67">
        <v>32.061</v>
      </c>
      <c r="G67">
        <v>55.210999999999999</v>
      </c>
      <c r="H67">
        <v>58.142000000000003</v>
      </c>
    </row>
    <row r="68" spans="1:8" x14ac:dyDescent="0.25">
      <c r="A68">
        <v>78.849000000000004</v>
      </c>
      <c r="B68">
        <v>37.682000000000002</v>
      </c>
      <c r="C68">
        <v>28.33</v>
      </c>
      <c r="D68">
        <v>45.16</v>
      </c>
      <c r="E68">
        <v>58.404000000000003</v>
      </c>
      <c r="F68">
        <v>41.491</v>
      </c>
      <c r="G68">
        <v>40.933</v>
      </c>
      <c r="H68">
        <v>66.289000000000001</v>
      </c>
    </row>
    <row r="69" spans="1:8" x14ac:dyDescent="0.25">
      <c r="A69">
        <v>72.534000000000006</v>
      </c>
      <c r="B69">
        <v>42.009</v>
      </c>
      <c r="C69">
        <v>20.277000000000001</v>
      </c>
      <c r="D69">
        <v>41.115000000000002</v>
      </c>
      <c r="E69">
        <v>44.334000000000003</v>
      </c>
      <c r="F69">
        <v>46.091999999999999</v>
      </c>
      <c r="G69">
        <v>45.378</v>
      </c>
      <c r="H69">
        <v>66.430000000000007</v>
      </c>
    </row>
    <row r="70" spans="1:8" x14ac:dyDescent="0.25">
      <c r="A70">
        <v>87.44</v>
      </c>
      <c r="B70">
        <v>53.826000000000001</v>
      </c>
      <c r="C70">
        <v>29.577999999999999</v>
      </c>
      <c r="D70">
        <v>48.213999999999999</v>
      </c>
      <c r="E70">
        <v>38.024000000000001</v>
      </c>
      <c r="F70">
        <v>41.924999999999997</v>
      </c>
      <c r="G70">
        <v>47</v>
      </c>
      <c r="H70">
        <v>53.44</v>
      </c>
    </row>
    <row r="71" spans="1:8" x14ac:dyDescent="0.25">
      <c r="A71">
        <v>34.1</v>
      </c>
      <c r="B71">
        <v>45.042000000000002</v>
      </c>
      <c r="C71">
        <v>35.429000000000002</v>
      </c>
      <c r="D71">
        <v>32.484000000000002</v>
      </c>
      <c r="E71">
        <v>19.114999999999998</v>
      </c>
      <c r="F71">
        <v>52.402000000000001</v>
      </c>
      <c r="G71">
        <v>36.398000000000003</v>
      </c>
      <c r="H71">
        <v>57.695</v>
      </c>
    </row>
    <row r="72" spans="1:8" x14ac:dyDescent="0.25">
      <c r="A72">
        <v>41.167999999999999</v>
      </c>
      <c r="B72">
        <v>54.107999999999997</v>
      </c>
      <c r="C72">
        <v>11.946999999999999</v>
      </c>
      <c r="D72">
        <v>35.289000000000001</v>
      </c>
      <c r="E72">
        <v>69.644999999999996</v>
      </c>
      <c r="F72">
        <v>57.231999999999999</v>
      </c>
      <c r="G72">
        <v>35.618000000000002</v>
      </c>
      <c r="H72">
        <v>80.134</v>
      </c>
    </row>
    <row r="73" spans="1:8" x14ac:dyDescent="0.25">
      <c r="A73">
        <v>71.7</v>
      </c>
      <c r="B73">
        <v>64.242999999999995</v>
      </c>
      <c r="C73">
        <v>17.38</v>
      </c>
      <c r="D73">
        <v>43.28</v>
      </c>
      <c r="E73">
        <v>89.572000000000003</v>
      </c>
      <c r="F73">
        <v>47.088999999999999</v>
      </c>
      <c r="G73">
        <v>34.258000000000003</v>
      </c>
      <c r="H73">
        <v>98.662999999999997</v>
      </c>
    </row>
    <row r="74" spans="1:8" x14ac:dyDescent="0.25">
      <c r="A74">
        <v>76.286000000000001</v>
      </c>
      <c r="B74">
        <v>39.869999999999997</v>
      </c>
      <c r="C74">
        <v>28.326000000000001</v>
      </c>
      <c r="D74">
        <v>48.210999999999999</v>
      </c>
      <c r="E74">
        <v>36.28</v>
      </c>
      <c r="F74">
        <v>51.305</v>
      </c>
      <c r="G74">
        <v>35.540999999999997</v>
      </c>
      <c r="H74">
        <v>43.792999999999999</v>
      </c>
    </row>
    <row r="75" spans="1:8" x14ac:dyDescent="0.25">
      <c r="A75">
        <v>45.753</v>
      </c>
      <c r="B75">
        <v>43.838999999999999</v>
      </c>
      <c r="C75">
        <v>19.125</v>
      </c>
      <c r="D75">
        <v>46.256</v>
      </c>
      <c r="E75">
        <v>28.866</v>
      </c>
      <c r="F75">
        <v>30.082000000000001</v>
      </c>
      <c r="G75">
        <v>24.577000000000002</v>
      </c>
      <c r="H75">
        <v>45.597000000000001</v>
      </c>
    </row>
    <row r="76" spans="1:8" x14ac:dyDescent="0.25">
      <c r="A76">
        <v>95.921999999999997</v>
      </c>
      <c r="B76">
        <v>44.85</v>
      </c>
      <c r="C76">
        <v>14.304</v>
      </c>
      <c r="D76">
        <v>16.507999999999999</v>
      </c>
      <c r="E76">
        <v>58.298000000000002</v>
      </c>
      <c r="F76">
        <v>27.030999999999999</v>
      </c>
      <c r="G76">
        <v>53.457999999999998</v>
      </c>
      <c r="H76">
        <v>85.316999999999993</v>
      </c>
    </row>
    <row r="77" spans="1:8" x14ac:dyDescent="0.25">
      <c r="A77">
        <v>84.021000000000001</v>
      </c>
      <c r="B77">
        <v>54.451000000000001</v>
      </c>
      <c r="C77">
        <v>21.577999999999999</v>
      </c>
      <c r="D77">
        <v>37.393999999999998</v>
      </c>
      <c r="E77">
        <v>61.481000000000002</v>
      </c>
      <c r="F77">
        <v>61.677999999999997</v>
      </c>
      <c r="G77">
        <v>50.438000000000002</v>
      </c>
      <c r="H77">
        <v>57.152999999999999</v>
      </c>
    </row>
    <row r="78" spans="1:8" x14ac:dyDescent="0.25">
      <c r="A78">
        <v>64.790999999999997</v>
      </c>
      <c r="B78">
        <v>48.555</v>
      </c>
      <c r="C78">
        <v>24.548999999999999</v>
      </c>
      <c r="D78">
        <v>11.648</v>
      </c>
      <c r="E78">
        <v>73.37</v>
      </c>
      <c r="F78">
        <v>48.904000000000003</v>
      </c>
      <c r="G78">
        <v>34.569000000000003</v>
      </c>
      <c r="H78">
        <v>50.39</v>
      </c>
    </row>
    <row r="79" spans="1:8" x14ac:dyDescent="0.25">
      <c r="A79">
        <v>66.102999999999994</v>
      </c>
      <c r="B79">
        <v>53.597000000000001</v>
      </c>
      <c r="C79">
        <v>28.472000000000001</v>
      </c>
      <c r="D79">
        <v>34.287999999999997</v>
      </c>
      <c r="E79">
        <v>52.228999999999999</v>
      </c>
      <c r="F79">
        <v>24.346</v>
      </c>
      <c r="G79">
        <v>45.500999999999998</v>
      </c>
      <c r="H79">
        <v>55.631999999999998</v>
      </c>
    </row>
    <row r="80" spans="1:8" x14ac:dyDescent="0.25">
      <c r="A80">
        <v>69.024000000000001</v>
      </c>
      <c r="B80">
        <v>12.792</v>
      </c>
      <c r="C80">
        <v>22.084</v>
      </c>
      <c r="D80">
        <v>47.673999999999999</v>
      </c>
      <c r="E80">
        <v>32.841999999999999</v>
      </c>
      <c r="F80">
        <v>20.475999999999999</v>
      </c>
      <c r="G80">
        <v>34.003999999999998</v>
      </c>
      <c r="H80">
        <v>57.558999999999997</v>
      </c>
    </row>
    <row r="81" spans="1:8" x14ac:dyDescent="0.25">
      <c r="A81">
        <v>83.228999999999999</v>
      </c>
      <c r="B81">
        <v>9.49</v>
      </c>
      <c r="C81">
        <v>30.945</v>
      </c>
      <c r="D81">
        <v>54.31</v>
      </c>
      <c r="E81">
        <v>49.825000000000003</v>
      </c>
      <c r="F81">
        <v>40.356000000000002</v>
      </c>
      <c r="G81">
        <v>31.268000000000001</v>
      </c>
      <c r="H81">
        <v>70.906000000000006</v>
      </c>
    </row>
    <row r="82" spans="1:8" x14ac:dyDescent="0.25">
      <c r="A82">
        <v>44.176000000000002</v>
      </c>
      <c r="B82">
        <v>13.423999999999999</v>
      </c>
      <c r="C82">
        <v>23.593</v>
      </c>
      <c r="D82">
        <v>35.354999999999997</v>
      </c>
      <c r="E82">
        <v>64.905000000000001</v>
      </c>
      <c r="F82">
        <v>35.478000000000002</v>
      </c>
      <c r="G82">
        <v>48.41</v>
      </c>
      <c r="H82">
        <v>41.356000000000002</v>
      </c>
    </row>
    <row r="83" spans="1:8" x14ac:dyDescent="0.25">
      <c r="A83">
        <v>28.968</v>
      </c>
      <c r="B83">
        <v>2.266</v>
      </c>
      <c r="C83">
        <v>33.787999999999997</v>
      </c>
      <c r="D83">
        <v>30.658000000000001</v>
      </c>
      <c r="E83">
        <v>56.582000000000001</v>
      </c>
      <c r="F83">
        <v>43.841999999999999</v>
      </c>
      <c r="G83">
        <v>36.552999999999997</v>
      </c>
      <c r="H83">
        <v>36.856999999999999</v>
      </c>
    </row>
    <row r="84" spans="1:8" x14ac:dyDescent="0.25">
      <c r="A84">
        <v>64.134</v>
      </c>
      <c r="B84">
        <v>1.8640000000000001</v>
      </c>
      <c r="C84">
        <v>26.79</v>
      </c>
      <c r="D84">
        <v>38.073</v>
      </c>
      <c r="E84">
        <v>54.408999999999999</v>
      </c>
      <c r="F84">
        <v>47.475000000000001</v>
      </c>
      <c r="G84">
        <v>38.823999999999998</v>
      </c>
      <c r="H84">
        <v>39.713000000000001</v>
      </c>
    </row>
    <row r="85" spans="1:8" x14ac:dyDescent="0.25">
      <c r="A85">
        <v>64.95</v>
      </c>
      <c r="C85">
        <v>20.286000000000001</v>
      </c>
      <c r="D85">
        <v>31.178000000000001</v>
      </c>
      <c r="E85">
        <v>28.696999999999999</v>
      </c>
      <c r="F85">
        <v>35.811</v>
      </c>
      <c r="G85">
        <v>27.797000000000001</v>
      </c>
      <c r="H85">
        <v>44.738</v>
      </c>
    </row>
    <row r="86" spans="1:8" x14ac:dyDescent="0.25">
      <c r="A86">
        <v>81.540000000000006</v>
      </c>
      <c r="C86">
        <v>31.658999999999999</v>
      </c>
      <c r="D86">
        <v>29.952000000000002</v>
      </c>
      <c r="E86">
        <v>60.603000000000002</v>
      </c>
      <c r="F86">
        <v>41.137999999999998</v>
      </c>
      <c r="G86">
        <v>33.747999999999998</v>
      </c>
      <c r="H86">
        <v>56.732999999999997</v>
      </c>
    </row>
    <row r="87" spans="1:8" x14ac:dyDescent="0.25">
      <c r="A87">
        <v>48.527999999999999</v>
      </c>
      <c r="C87">
        <v>24.925000000000001</v>
      </c>
      <c r="D87">
        <v>19.803000000000001</v>
      </c>
      <c r="E87">
        <v>30.643999999999998</v>
      </c>
      <c r="F87">
        <v>24.074999999999999</v>
      </c>
      <c r="G87">
        <v>23.923999999999999</v>
      </c>
      <c r="H87">
        <v>47.965000000000003</v>
      </c>
    </row>
    <row r="88" spans="1:8" x14ac:dyDescent="0.25">
      <c r="A88">
        <v>49</v>
      </c>
      <c r="C88">
        <v>30.678000000000001</v>
      </c>
      <c r="D88">
        <v>39.406999999999996</v>
      </c>
      <c r="E88">
        <v>43.47</v>
      </c>
      <c r="F88">
        <v>33.131</v>
      </c>
      <c r="G88">
        <v>26.4</v>
      </c>
      <c r="H88">
        <v>58.856999999999999</v>
      </c>
    </row>
    <row r="89" spans="1:8" x14ac:dyDescent="0.25">
      <c r="A89">
        <v>39.85</v>
      </c>
      <c r="C89">
        <v>26.565999999999999</v>
      </c>
      <c r="D89">
        <v>50.692999999999998</v>
      </c>
      <c r="E89">
        <v>53.35</v>
      </c>
      <c r="F89">
        <v>61.252000000000002</v>
      </c>
      <c r="G89">
        <v>34.887</v>
      </c>
      <c r="H89">
        <v>48.188000000000002</v>
      </c>
    </row>
    <row r="90" spans="1:8" x14ac:dyDescent="0.25">
      <c r="A90">
        <v>36.255000000000003</v>
      </c>
      <c r="C90">
        <v>29.462</v>
      </c>
      <c r="D90">
        <v>56.725999999999999</v>
      </c>
      <c r="E90">
        <v>45.732999999999997</v>
      </c>
      <c r="F90">
        <v>37.478999999999999</v>
      </c>
      <c r="G90">
        <v>34.195999999999998</v>
      </c>
      <c r="H90">
        <v>51.445999999999998</v>
      </c>
    </row>
    <row r="91" spans="1:8" x14ac:dyDescent="0.25">
      <c r="A91">
        <v>6.4550000000000001</v>
      </c>
      <c r="C91">
        <v>24.864000000000001</v>
      </c>
      <c r="D91">
        <v>11.91</v>
      </c>
      <c r="E91">
        <v>42.284999999999997</v>
      </c>
      <c r="F91">
        <v>45.762999999999998</v>
      </c>
      <c r="G91">
        <v>31.17</v>
      </c>
      <c r="H91">
        <v>52.750999999999998</v>
      </c>
    </row>
    <row r="92" spans="1:8" x14ac:dyDescent="0.25">
      <c r="A92">
        <v>45.43</v>
      </c>
      <c r="C92">
        <v>18.686</v>
      </c>
      <c r="D92">
        <v>52.008000000000003</v>
      </c>
      <c r="E92">
        <v>45.600999999999999</v>
      </c>
      <c r="F92">
        <v>42.404000000000003</v>
      </c>
      <c r="G92">
        <v>35.270000000000003</v>
      </c>
      <c r="H92">
        <v>34.317</v>
      </c>
    </row>
    <row r="93" spans="1:8" x14ac:dyDescent="0.25">
      <c r="A93">
        <v>38.72</v>
      </c>
      <c r="C93">
        <v>27.417999999999999</v>
      </c>
      <c r="D93">
        <v>25.324000000000002</v>
      </c>
      <c r="E93">
        <v>60.142000000000003</v>
      </c>
      <c r="F93">
        <v>48.957000000000001</v>
      </c>
      <c r="G93">
        <v>12.992000000000001</v>
      </c>
      <c r="H93">
        <v>26.523</v>
      </c>
    </row>
    <row r="94" spans="1:8" x14ac:dyDescent="0.25">
      <c r="A94">
        <v>33.975000000000001</v>
      </c>
      <c r="C94">
        <v>29.190999999999999</v>
      </c>
      <c r="D94">
        <v>32.078000000000003</v>
      </c>
      <c r="E94">
        <v>60.973999999999997</v>
      </c>
      <c r="F94">
        <v>53.24</v>
      </c>
      <c r="G94">
        <v>14.913</v>
      </c>
      <c r="H94">
        <v>28.713999999999999</v>
      </c>
    </row>
    <row r="95" spans="1:8" x14ac:dyDescent="0.25">
      <c r="A95">
        <v>6.0250000000000004</v>
      </c>
      <c r="C95">
        <v>26.474</v>
      </c>
      <c r="D95">
        <v>45.911000000000001</v>
      </c>
      <c r="E95">
        <v>59.302</v>
      </c>
      <c r="F95">
        <v>64.825999999999993</v>
      </c>
      <c r="G95">
        <v>42.472999999999999</v>
      </c>
      <c r="H95">
        <v>25.504000000000001</v>
      </c>
    </row>
    <row r="96" spans="1:8" x14ac:dyDescent="0.25">
      <c r="A96">
        <v>45.895000000000003</v>
      </c>
      <c r="C96">
        <v>26.332999999999998</v>
      </c>
      <c r="D96">
        <v>40.174999999999997</v>
      </c>
      <c r="E96">
        <v>45.697000000000003</v>
      </c>
      <c r="F96">
        <v>41.155999999999999</v>
      </c>
      <c r="G96">
        <v>44.073</v>
      </c>
      <c r="H96">
        <v>23.401</v>
      </c>
    </row>
    <row r="97" spans="1:7" x14ac:dyDescent="0.25">
      <c r="A97">
        <v>19.065000000000001</v>
      </c>
      <c r="C97">
        <v>32.662999999999997</v>
      </c>
      <c r="D97">
        <v>27.802</v>
      </c>
      <c r="E97">
        <v>35.496000000000002</v>
      </c>
      <c r="F97">
        <v>35.755000000000003</v>
      </c>
      <c r="G97">
        <v>46.585000000000001</v>
      </c>
    </row>
    <row r="98" spans="1:7" x14ac:dyDescent="0.25">
      <c r="A98">
        <v>22.565000000000001</v>
      </c>
      <c r="C98">
        <v>18.137</v>
      </c>
      <c r="D98">
        <v>25.111999999999998</v>
      </c>
      <c r="E98">
        <v>33.747</v>
      </c>
      <c r="F98">
        <v>16.414999999999999</v>
      </c>
      <c r="G98">
        <v>43.716999999999999</v>
      </c>
    </row>
    <row r="99" spans="1:7" x14ac:dyDescent="0.25">
      <c r="A99">
        <v>29.635000000000002</v>
      </c>
      <c r="C99">
        <v>24.29</v>
      </c>
      <c r="D99">
        <v>64.69</v>
      </c>
      <c r="E99">
        <v>24.62</v>
      </c>
      <c r="F99">
        <v>29.402000000000001</v>
      </c>
      <c r="G99">
        <v>49.932000000000002</v>
      </c>
    </row>
    <row r="100" spans="1:7" x14ac:dyDescent="0.25">
      <c r="A100">
        <v>31.23</v>
      </c>
      <c r="C100">
        <v>22.141999999999999</v>
      </c>
      <c r="D100">
        <v>26.949000000000002</v>
      </c>
      <c r="E100">
        <v>37.966000000000001</v>
      </c>
      <c r="F100">
        <v>29.138999999999999</v>
      </c>
      <c r="G100">
        <v>23.068000000000001</v>
      </c>
    </row>
    <row r="101" spans="1:7" x14ac:dyDescent="0.25">
      <c r="A101">
        <v>37.244999999999997</v>
      </c>
      <c r="C101">
        <v>20.178999999999998</v>
      </c>
      <c r="D101">
        <v>52.396000000000001</v>
      </c>
      <c r="E101">
        <v>24.984000000000002</v>
      </c>
      <c r="F101">
        <v>54.084000000000003</v>
      </c>
      <c r="G101">
        <v>29.100999999999999</v>
      </c>
    </row>
    <row r="102" spans="1:7" x14ac:dyDescent="0.25">
      <c r="A102">
        <v>39.53</v>
      </c>
      <c r="C102">
        <v>25.44</v>
      </c>
      <c r="D102">
        <v>61.210999999999999</v>
      </c>
      <c r="E102">
        <v>34.015999999999998</v>
      </c>
      <c r="F102">
        <v>37.253</v>
      </c>
      <c r="G102">
        <v>44.293999999999997</v>
      </c>
    </row>
    <row r="103" spans="1:7" x14ac:dyDescent="0.25">
      <c r="A103">
        <v>14.62</v>
      </c>
      <c r="C103">
        <v>25.79</v>
      </c>
      <c r="D103">
        <v>41.103999999999999</v>
      </c>
      <c r="E103">
        <v>24.635000000000002</v>
      </c>
      <c r="F103">
        <v>44.116999999999997</v>
      </c>
      <c r="G103">
        <v>45.899000000000001</v>
      </c>
    </row>
    <row r="104" spans="1:7" x14ac:dyDescent="0.25">
      <c r="A104">
        <v>14.91</v>
      </c>
      <c r="C104">
        <v>24.946999999999999</v>
      </c>
      <c r="D104">
        <v>26.331</v>
      </c>
      <c r="E104">
        <v>22.995999999999999</v>
      </c>
      <c r="F104">
        <v>27.946000000000002</v>
      </c>
      <c r="G104">
        <v>47.143000000000001</v>
      </c>
    </row>
    <row r="105" spans="1:7" x14ac:dyDescent="0.25">
      <c r="A105">
        <v>14.47</v>
      </c>
      <c r="C105">
        <v>60.747999999999998</v>
      </c>
      <c r="D105">
        <v>29.303000000000001</v>
      </c>
      <c r="E105">
        <v>45.621000000000002</v>
      </c>
      <c r="F105">
        <v>53.451999999999998</v>
      </c>
      <c r="G105">
        <v>36.049999999999997</v>
      </c>
    </row>
    <row r="106" spans="1:7" x14ac:dyDescent="0.25">
      <c r="A106">
        <v>51.71</v>
      </c>
      <c r="C106">
        <v>21.17</v>
      </c>
      <c r="D106">
        <v>20.140999999999998</v>
      </c>
      <c r="E106">
        <v>19.893999999999998</v>
      </c>
      <c r="F106">
        <v>49.64</v>
      </c>
      <c r="G106">
        <v>44.88</v>
      </c>
    </row>
    <row r="107" spans="1:7" x14ac:dyDescent="0.25">
      <c r="A107">
        <v>44.445</v>
      </c>
      <c r="C107">
        <v>43.222999999999999</v>
      </c>
      <c r="D107">
        <v>20.681999999999999</v>
      </c>
      <c r="E107">
        <v>23.952999999999999</v>
      </c>
      <c r="F107">
        <v>42.140999999999998</v>
      </c>
      <c r="G107">
        <v>31.963999999999999</v>
      </c>
    </row>
    <row r="108" spans="1:7" x14ac:dyDescent="0.25">
      <c r="A108">
        <v>15.96</v>
      </c>
      <c r="C108">
        <v>26.956</v>
      </c>
      <c r="D108">
        <v>30.881</v>
      </c>
      <c r="E108">
        <v>32.511000000000003</v>
      </c>
      <c r="F108">
        <v>57.85</v>
      </c>
      <c r="G108">
        <v>55.914999999999999</v>
      </c>
    </row>
    <row r="109" spans="1:7" x14ac:dyDescent="0.25">
      <c r="A109">
        <v>42.664999999999999</v>
      </c>
      <c r="C109">
        <v>30.044</v>
      </c>
      <c r="D109">
        <v>20.332999999999998</v>
      </c>
      <c r="E109">
        <v>36.756</v>
      </c>
      <c r="F109">
        <v>30.821999999999999</v>
      </c>
      <c r="G109">
        <v>41.207000000000001</v>
      </c>
    </row>
    <row r="110" spans="1:7" x14ac:dyDescent="0.25">
      <c r="A110">
        <v>55.145000000000003</v>
      </c>
      <c r="C110">
        <v>30.027000000000001</v>
      </c>
      <c r="D110">
        <v>32.462000000000003</v>
      </c>
      <c r="E110">
        <v>19.427</v>
      </c>
      <c r="F110">
        <v>35.008000000000003</v>
      </c>
      <c r="G110">
        <v>52.472000000000001</v>
      </c>
    </row>
    <row r="111" spans="1:7" x14ac:dyDescent="0.25">
      <c r="A111">
        <v>36.54</v>
      </c>
      <c r="C111">
        <v>44.353000000000002</v>
      </c>
      <c r="D111">
        <v>16.478999999999999</v>
      </c>
      <c r="E111">
        <v>23.584</v>
      </c>
      <c r="F111">
        <v>38.006999999999998</v>
      </c>
      <c r="G111">
        <v>40.737000000000002</v>
      </c>
    </row>
    <row r="112" spans="1:7" x14ac:dyDescent="0.25">
      <c r="A112">
        <v>54.14</v>
      </c>
      <c r="C112">
        <v>24.701000000000001</v>
      </c>
      <c r="D112">
        <v>15.384</v>
      </c>
      <c r="E112">
        <v>29.119</v>
      </c>
      <c r="F112">
        <v>36.829000000000001</v>
      </c>
      <c r="G112">
        <v>65.174999999999997</v>
      </c>
    </row>
    <row r="113" spans="1:7" x14ac:dyDescent="0.25">
      <c r="A113">
        <v>102.21</v>
      </c>
      <c r="C113">
        <v>29.2</v>
      </c>
      <c r="D113">
        <v>18.696000000000002</v>
      </c>
      <c r="E113">
        <v>20.695</v>
      </c>
      <c r="F113">
        <v>29.079000000000001</v>
      </c>
      <c r="G113">
        <v>54.375999999999998</v>
      </c>
    </row>
    <row r="114" spans="1:7" x14ac:dyDescent="0.25">
      <c r="A114">
        <v>35.89</v>
      </c>
      <c r="C114">
        <v>39.662999999999997</v>
      </c>
      <c r="D114">
        <v>13.602</v>
      </c>
      <c r="E114">
        <v>18.363</v>
      </c>
      <c r="F114">
        <v>34.433999999999997</v>
      </c>
      <c r="G114">
        <v>50.741999999999997</v>
      </c>
    </row>
    <row r="115" spans="1:7" x14ac:dyDescent="0.25">
      <c r="A115">
        <v>48.79</v>
      </c>
      <c r="D115">
        <v>17.231999999999999</v>
      </c>
      <c r="E115">
        <v>16.23</v>
      </c>
      <c r="F115">
        <v>41.469000000000001</v>
      </c>
      <c r="G115">
        <v>39.656999999999996</v>
      </c>
    </row>
    <row r="116" spans="1:7" x14ac:dyDescent="0.25">
      <c r="A116">
        <v>37.79</v>
      </c>
      <c r="D116">
        <v>48.927</v>
      </c>
      <c r="E116">
        <v>17.16</v>
      </c>
      <c r="F116">
        <v>42.093000000000004</v>
      </c>
      <c r="G116">
        <v>35.921999999999997</v>
      </c>
    </row>
    <row r="117" spans="1:7" x14ac:dyDescent="0.25">
      <c r="A117">
        <v>49.42</v>
      </c>
      <c r="D117">
        <v>44.972999999999999</v>
      </c>
      <c r="E117">
        <v>16.603999999999999</v>
      </c>
      <c r="F117">
        <v>26.754000000000001</v>
      </c>
      <c r="G117">
        <v>55.231000000000002</v>
      </c>
    </row>
    <row r="118" spans="1:7" x14ac:dyDescent="0.25">
      <c r="A118">
        <v>39.994999999999997</v>
      </c>
      <c r="D118">
        <v>41.226999999999997</v>
      </c>
      <c r="E118">
        <v>15.57</v>
      </c>
      <c r="F118">
        <v>10.206</v>
      </c>
      <c r="G118">
        <v>52.027000000000001</v>
      </c>
    </row>
    <row r="119" spans="1:7" x14ac:dyDescent="0.25">
      <c r="A119">
        <v>47.475000000000001</v>
      </c>
      <c r="D119">
        <v>52.351999999999997</v>
      </c>
      <c r="E119">
        <v>23.093</v>
      </c>
      <c r="F119">
        <v>30.946000000000002</v>
      </c>
      <c r="G119">
        <v>34.383000000000003</v>
      </c>
    </row>
    <row r="120" spans="1:7" x14ac:dyDescent="0.25">
      <c r="A120">
        <v>49.558</v>
      </c>
      <c r="D120">
        <v>60.86</v>
      </c>
      <c r="E120">
        <v>7.5039999999999996</v>
      </c>
      <c r="F120">
        <v>56.381999999999998</v>
      </c>
      <c r="G120">
        <v>44.84</v>
      </c>
    </row>
    <row r="121" spans="1:7" x14ac:dyDescent="0.25">
      <c r="A121">
        <v>32.454000000000001</v>
      </c>
      <c r="D121">
        <v>30.231000000000002</v>
      </c>
      <c r="E121">
        <v>16.856999999999999</v>
      </c>
      <c r="F121">
        <v>71.313999999999993</v>
      </c>
      <c r="G121">
        <v>45.741</v>
      </c>
    </row>
    <row r="122" spans="1:7" x14ac:dyDescent="0.25">
      <c r="A122">
        <v>70.775000000000006</v>
      </c>
      <c r="D122">
        <v>72.230999999999995</v>
      </c>
      <c r="E122">
        <v>17.183</v>
      </c>
      <c r="F122">
        <v>29.792999999999999</v>
      </c>
      <c r="G122">
        <v>53.637</v>
      </c>
    </row>
    <row r="123" spans="1:7" x14ac:dyDescent="0.25">
      <c r="A123">
        <v>115.518</v>
      </c>
      <c r="D123">
        <v>47.752000000000002</v>
      </c>
      <c r="E123">
        <v>21.93</v>
      </c>
      <c r="F123">
        <v>40.725999999999999</v>
      </c>
      <c r="G123">
        <v>55.097000000000001</v>
      </c>
    </row>
    <row r="124" spans="1:7" x14ac:dyDescent="0.25">
      <c r="A124">
        <v>43.081000000000003</v>
      </c>
      <c r="D124">
        <v>68.694000000000003</v>
      </c>
      <c r="E124">
        <v>67.456000000000003</v>
      </c>
      <c r="F124">
        <v>53.805</v>
      </c>
      <c r="G124">
        <v>46.712000000000003</v>
      </c>
    </row>
    <row r="125" spans="1:7" x14ac:dyDescent="0.25">
      <c r="A125">
        <v>21.210999999999999</v>
      </c>
      <c r="D125">
        <v>31.181000000000001</v>
      </c>
      <c r="E125">
        <v>73.176000000000002</v>
      </c>
      <c r="F125">
        <v>42.679000000000002</v>
      </c>
      <c r="G125">
        <v>55.368000000000002</v>
      </c>
    </row>
    <row r="126" spans="1:7" x14ac:dyDescent="0.25">
      <c r="A126">
        <v>23.855</v>
      </c>
      <c r="D126">
        <v>42.078000000000003</v>
      </c>
      <c r="E126">
        <v>73.323999999999998</v>
      </c>
      <c r="F126">
        <v>47.598999999999997</v>
      </c>
      <c r="G126">
        <v>46.734999999999999</v>
      </c>
    </row>
    <row r="127" spans="1:7" x14ac:dyDescent="0.25">
      <c r="A127">
        <v>34.610999999999997</v>
      </c>
      <c r="D127">
        <v>26.584</v>
      </c>
      <c r="E127">
        <v>73.864999999999995</v>
      </c>
      <c r="F127">
        <v>50.162999999999997</v>
      </c>
      <c r="G127">
        <v>42.688000000000002</v>
      </c>
    </row>
    <row r="128" spans="1:7" x14ac:dyDescent="0.25">
      <c r="A128">
        <v>37.430999999999997</v>
      </c>
      <c r="D128">
        <v>39.725999999999999</v>
      </c>
      <c r="E128">
        <v>66.837999999999994</v>
      </c>
      <c r="F128">
        <v>49.628</v>
      </c>
      <c r="G128">
        <v>33.139000000000003</v>
      </c>
    </row>
    <row r="129" spans="1:7" x14ac:dyDescent="0.25">
      <c r="A129">
        <v>42.124000000000002</v>
      </c>
      <c r="D129">
        <v>34.743000000000002</v>
      </c>
      <c r="E129">
        <v>60.715000000000003</v>
      </c>
      <c r="F129">
        <v>57.933</v>
      </c>
      <c r="G129">
        <v>42.38</v>
      </c>
    </row>
    <row r="130" spans="1:7" x14ac:dyDescent="0.25">
      <c r="A130">
        <v>32.540999999999997</v>
      </c>
      <c r="D130">
        <v>30.295999999999999</v>
      </c>
      <c r="E130">
        <v>67.23</v>
      </c>
      <c r="F130">
        <v>56.914999999999999</v>
      </c>
      <c r="G130">
        <v>45.283000000000001</v>
      </c>
    </row>
    <row r="131" spans="1:7" x14ac:dyDescent="0.25">
      <c r="A131">
        <v>31.649000000000001</v>
      </c>
      <c r="D131">
        <v>40.694000000000003</v>
      </c>
      <c r="E131">
        <v>81.596999999999994</v>
      </c>
      <c r="F131">
        <v>49.582000000000001</v>
      </c>
      <c r="G131">
        <v>45.216999999999999</v>
      </c>
    </row>
    <row r="132" spans="1:7" x14ac:dyDescent="0.25">
      <c r="A132">
        <v>32.643999999999998</v>
      </c>
      <c r="D132">
        <v>60.404000000000003</v>
      </c>
      <c r="E132">
        <v>48.783999999999999</v>
      </c>
      <c r="F132">
        <v>68.233999999999995</v>
      </c>
      <c r="G132">
        <v>57.268000000000001</v>
      </c>
    </row>
    <row r="133" spans="1:7" x14ac:dyDescent="0.25">
      <c r="A133">
        <v>99.052999999999997</v>
      </c>
      <c r="D133">
        <v>50.329000000000001</v>
      </c>
      <c r="E133">
        <v>86.471999999999994</v>
      </c>
      <c r="F133">
        <v>65.97</v>
      </c>
      <c r="G133">
        <v>54.872999999999998</v>
      </c>
    </row>
    <row r="134" spans="1:7" x14ac:dyDescent="0.25">
      <c r="A134">
        <v>98.06</v>
      </c>
      <c r="D134">
        <v>57.350999999999999</v>
      </c>
      <c r="E134">
        <v>74.569000000000003</v>
      </c>
      <c r="F134">
        <v>57.030999999999999</v>
      </c>
      <c r="G134">
        <v>53.923000000000002</v>
      </c>
    </row>
    <row r="135" spans="1:7" x14ac:dyDescent="0.25">
      <c r="A135">
        <v>90.724999999999994</v>
      </c>
      <c r="D135">
        <v>32.164000000000001</v>
      </c>
      <c r="E135">
        <v>65.576999999999998</v>
      </c>
      <c r="F135">
        <v>48.500999999999998</v>
      </c>
      <c r="G135">
        <v>36.637</v>
      </c>
    </row>
    <row r="136" spans="1:7" x14ac:dyDescent="0.25">
      <c r="A136">
        <v>37.146000000000001</v>
      </c>
      <c r="D136">
        <v>30.573</v>
      </c>
      <c r="E136">
        <v>65.876999999999995</v>
      </c>
      <c r="F136">
        <v>45.616999999999997</v>
      </c>
      <c r="G136">
        <v>33.439</v>
      </c>
    </row>
    <row r="137" spans="1:7" x14ac:dyDescent="0.25">
      <c r="A137">
        <v>31.795000000000002</v>
      </c>
      <c r="D137">
        <v>59.319000000000003</v>
      </c>
      <c r="E137">
        <v>50.228000000000002</v>
      </c>
      <c r="F137">
        <v>71.043000000000006</v>
      </c>
      <c r="G137">
        <v>54.936</v>
      </c>
    </row>
    <row r="138" spans="1:7" x14ac:dyDescent="0.25">
      <c r="A138">
        <v>39.621000000000002</v>
      </c>
      <c r="D138">
        <v>47.636000000000003</v>
      </c>
      <c r="E138">
        <v>93.156000000000006</v>
      </c>
      <c r="F138">
        <v>50.201000000000001</v>
      </c>
      <c r="G138">
        <v>63.976999999999997</v>
      </c>
    </row>
    <row r="139" spans="1:7" x14ac:dyDescent="0.25">
      <c r="A139">
        <v>88.802000000000007</v>
      </c>
      <c r="D139">
        <v>49.771000000000001</v>
      </c>
      <c r="E139">
        <v>69.100999999999999</v>
      </c>
      <c r="F139">
        <v>67.802999999999997</v>
      </c>
      <c r="G139">
        <v>33.936999999999998</v>
      </c>
    </row>
    <row r="140" spans="1:7" x14ac:dyDescent="0.25">
      <c r="A140">
        <v>75.954999999999998</v>
      </c>
      <c r="D140">
        <v>33.012</v>
      </c>
      <c r="E140">
        <v>45.482999999999997</v>
      </c>
      <c r="F140">
        <v>45.533000000000001</v>
      </c>
      <c r="G140">
        <v>39.752000000000002</v>
      </c>
    </row>
    <row r="141" spans="1:7" x14ac:dyDescent="0.25">
      <c r="A141">
        <v>40.399000000000001</v>
      </c>
      <c r="D141">
        <v>37.938000000000002</v>
      </c>
      <c r="E141">
        <v>36.585000000000001</v>
      </c>
      <c r="F141">
        <v>25.744</v>
      </c>
      <c r="G141">
        <v>59.250999999999998</v>
      </c>
    </row>
    <row r="142" spans="1:7" x14ac:dyDescent="0.25">
      <c r="A142">
        <v>97.724999999999994</v>
      </c>
      <c r="D142">
        <v>28.408000000000001</v>
      </c>
      <c r="E142">
        <v>37.478000000000002</v>
      </c>
      <c r="F142">
        <v>35.262</v>
      </c>
      <c r="G142">
        <v>26.620999999999999</v>
      </c>
    </row>
    <row r="143" spans="1:7" x14ac:dyDescent="0.25">
      <c r="A143">
        <v>87.272999999999996</v>
      </c>
      <c r="D143">
        <v>42.283000000000001</v>
      </c>
      <c r="E143">
        <v>33.423000000000002</v>
      </c>
      <c r="F143">
        <v>28.997</v>
      </c>
      <c r="G143">
        <v>65.161000000000001</v>
      </c>
    </row>
    <row r="144" spans="1:7" x14ac:dyDescent="0.25">
      <c r="A144">
        <v>42.215000000000003</v>
      </c>
      <c r="D144">
        <v>39.826000000000001</v>
      </c>
      <c r="E144">
        <v>45.139000000000003</v>
      </c>
      <c r="F144">
        <v>69.603999999999999</v>
      </c>
      <c r="G144">
        <v>60.762999999999998</v>
      </c>
    </row>
    <row r="145" spans="1:7" x14ac:dyDescent="0.25">
      <c r="A145">
        <v>103.03700000000001</v>
      </c>
      <c r="D145">
        <v>56.347999999999999</v>
      </c>
      <c r="E145">
        <v>60.947000000000003</v>
      </c>
      <c r="F145">
        <v>56.277000000000001</v>
      </c>
      <c r="G145">
        <v>52.914999999999999</v>
      </c>
    </row>
    <row r="146" spans="1:7" x14ac:dyDescent="0.25">
      <c r="A146">
        <v>83.296000000000006</v>
      </c>
      <c r="D146">
        <v>77.786000000000001</v>
      </c>
      <c r="E146">
        <v>58.484000000000002</v>
      </c>
      <c r="F146">
        <v>50.475999999999999</v>
      </c>
      <c r="G146">
        <v>63.366999999999997</v>
      </c>
    </row>
    <row r="147" spans="1:7" x14ac:dyDescent="0.25">
      <c r="A147">
        <v>129.68700000000001</v>
      </c>
      <c r="D147">
        <v>57.783999999999999</v>
      </c>
      <c r="E147">
        <v>43.338000000000001</v>
      </c>
      <c r="F147">
        <v>30.552</v>
      </c>
      <c r="G147">
        <v>42.997</v>
      </c>
    </row>
    <row r="148" spans="1:7" x14ac:dyDescent="0.25">
      <c r="A148">
        <v>56.555</v>
      </c>
      <c r="D148">
        <v>51.789000000000001</v>
      </c>
      <c r="E148">
        <v>41.334000000000003</v>
      </c>
      <c r="F148">
        <v>45.975999999999999</v>
      </c>
      <c r="G148">
        <v>62.198</v>
      </c>
    </row>
    <row r="149" spans="1:7" x14ac:dyDescent="0.25">
      <c r="A149">
        <v>110.306</v>
      </c>
      <c r="D149">
        <v>67.787000000000006</v>
      </c>
      <c r="E149">
        <v>52.137999999999998</v>
      </c>
      <c r="F149">
        <v>51.62</v>
      </c>
      <c r="G149">
        <v>38.664999999999999</v>
      </c>
    </row>
    <row r="150" spans="1:7" x14ac:dyDescent="0.25">
      <c r="A150">
        <v>133.215</v>
      </c>
      <c r="D150">
        <v>63.936999999999998</v>
      </c>
      <c r="E150">
        <v>72.028000000000006</v>
      </c>
      <c r="F150">
        <v>49.375999999999998</v>
      </c>
      <c r="G150">
        <v>57.091000000000001</v>
      </c>
    </row>
    <row r="151" spans="1:7" x14ac:dyDescent="0.25">
      <c r="A151">
        <v>102.11</v>
      </c>
      <c r="D151">
        <v>64.763999999999996</v>
      </c>
      <c r="E151">
        <v>71.790000000000006</v>
      </c>
      <c r="F151">
        <v>50.823999999999998</v>
      </c>
      <c r="G151">
        <v>79.623000000000005</v>
      </c>
    </row>
    <row r="152" spans="1:7" x14ac:dyDescent="0.25">
      <c r="A152">
        <v>36.731999999999999</v>
      </c>
      <c r="D152">
        <v>31.706</v>
      </c>
      <c r="E152">
        <v>97.26</v>
      </c>
      <c r="F152">
        <v>52.975999999999999</v>
      </c>
      <c r="G152">
        <v>47.658999999999999</v>
      </c>
    </row>
    <row r="153" spans="1:7" x14ac:dyDescent="0.25">
      <c r="A153">
        <v>95.492999999999995</v>
      </c>
      <c r="D153">
        <v>30.85</v>
      </c>
      <c r="E153">
        <v>66.185000000000002</v>
      </c>
      <c r="F153">
        <v>51.420999999999999</v>
      </c>
      <c r="G153">
        <v>33.973999999999997</v>
      </c>
    </row>
    <row r="154" spans="1:7" x14ac:dyDescent="0.25">
      <c r="A154">
        <v>127.732</v>
      </c>
      <c r="D154">
        <v>66.578000000000003</v>
      </c>
      <c r="E154">
        <v>40.218000000000004</v>
      </c>
      <c r="F154">
        <v>47.34</v>
      </c>
      <c r="G154">
        <v>65.341999999999999</v>
      </c>
    </row>
    <row r="155" spans="1:7" x14ac:dyDescent="0.25">
      <c r="A155">
        <v>119.836</v>
      </c>
      <c r="D155">
        <v>28.675999999999998</v>
      </c>
      <c r="E155">
        <v>66.266000000000005</v>
      </c>
      <c r="F155">
        <v>59.118000000000002</v>
      </c>
      <c r="G155">
        <v>47.314999999999998</v>
      </c>
    </row>
    <row r="156" spans="1:7" x14ac:dyDescent="0.25">
      <c r="A156">
        <v>45.843000000000004</v>
      </c>
      <c r="D156">
        <v>51.218000000000004</v>
      </c>
      <c r="E156">
        <v>66.55</v>
      </c>
      <c r="F156">
        <v>55.192999999999998</v>
      </c>
      <c r="G156">
        <v>48.133000000000003</v>
      </c>
    </row>
    <row r="157" spans="1:7" x14ac:dyDescent="0.25">
      <c r="A157">
        <v>84.631</v>
      </c>
      <c r="D157">
        <v>20.077999999999999</v>
      </c>
      <c r="E157">
        <v>50.225999999999999</v>
      </c>
      <c r="F157">
        <v>55.478999999999999</v>
      </c>
      <c r="G157">
        <v>42.643000000000001</v>
      </c>
    </row>
    <row r="158" spans="1:7" x14ac:dyDescent="0.25">
      <c r="A158">
        <v>34.171999999999997</v>
      </c>
      <c r="D158">
        <v>48.758000000000003</v>
      </c>
      <c r="E158">
        <v>79.352999999999994</v>
      </c>
      <c r="F158">
        <v>57.088000000000001</v>
      </c>
      <c r="G158">
        <v>38.938000000000002</v>
      </c>
    </row>
    <row r="159" spans="1:7" x14ac:dyDescent="0.25">
      <c r="A159">
        <v>100.107</v>
      </c>
      <c r="D159">
        <v>34.44</v>
      </c>
      <c r="E159">
        <v>37.4</v>
      </c>
      <c r="F159">
        <v>38.619</v>
      </c>
      <c r="G159">
        <v>55.673999999999999</v>
      </c>
    </row>
    <row r="160" spans="1:7" x14ac:dyDescent="0.25">
      <c r="A160">
        <v>97.457999999999998</v>
      </c>
      <c r="D160">
        <v>55.055</v>
      </c>
      <c r="E160">
        <v>64.626999999999995</v>
      </c>
      <c r="F160">
        <v>57.204000000000001</v>
      </c>
      <c r="G160">
        <v>38.683</v>
      </c>
    </row>
    <row r="161" spans="1:7" x14ac:dyDescent="0.25">
      <c r="A161">
        <v>113.931</v>
      </c>
      <c r="D161">
        <v>25.641999999999999</v>
      </c>
      <c r="E161">
        <v>68.475999999999999</v>
      </c>
      <c r="F161">
        <v>50.075000000000003</v>
      </c>
      <c r="G161">
        <v>39.229999999999997</v>
      </c>
    </row>
    <row r="162" spans="1:7" x14ac:dyDescent="0.25">
      <c r="A162">
        <v>102.68899999999999</v>
      </c>
      <c r="D162">
        <v>76.489999999999995</v>
      </c>
      <c r="E162">
        <v>42.704999999999998</v>
      </c>
      <c r="F162">
        <v>75.009</v>
      </c>
      <c r="G162">
        <v>30.5</v>
      </c>
    </row>
    <row r="163" spans="1:7" x14ac:dyDescent="0.25">
      <c r="A163">
        <v>62.835000000000001</v>
      </c>
      <c r="D163">
        <v>65.213999999999999</v>
      </c>
      <c r="E163">
        <v>65.647000000000006</v>
      </c>
      <c r="F163">
        <v>58.344000000000001</v>
      </c>
      <c r="G163">
        <v>50.420999999999999</v>
      </c>
    </row>
    <row r="164" spans="1:7" x14ac:dyDescent="0.25">
      <c r="A164">
        <v>100.938</v>
      </c>
      <c r="D164">
        <v>41.697000000000003</v>
      </c>
      <c r="E164">
        <v>83.44</v>
      </c>
      <c r="F164">
        <v>65.989999999999995</v>
      </c>
      <c r="G164">
        <v>66.757999999999996</v>
      </c>
    </row>
    <row r="165" spans="1:7" x14ac:dyDescent="0.25">
      <c r="A165">
        <v>106.12</v>
      </c>
      <c r="D165">
        <v>45.612000000000002</v>
      </c>
      <c r="E165">
        <v>111.114</v>
      </c>
      <c r="F165">
        <v>58.466999999999999</v>
      </c>
      <c r="G165">
        <v>40.828000000000003</v>
      </c>
    </row>
    <row r="166" spans="1:7" x14ac:dyDescent="0.25">
      <c r="A166">
        <v>66.811999999999998</v>
      </c>
      <c r="D166">
        <v>58.22</v>
      </c>
      <c r="E166">
        <v>71.400999999999996</v>
      </c>
      <c r="F166">
        <v>64.936999999999998</v>
      </c>
      <c r="G166">
        <v>50.694000000000003</v>
      </c>
    </row>
    <row r="167" spans="1:7" x14ac:dyDescent="0.25">
      <c r="A167">
        <v>109.51900000000001</v>
      </c>
      <c r="D167">
        <v>66.483999999999995</v>
      </c>
      <c r="E167">
        <v>66.524000000000001</v>
      </c>
      <c r="F167">
        <v>42.347000000000001</v>
      </c>
      <c r="G167">
        <v>50.506999999999998</v>
      </c>
    </row>
    <row r="168" spans="1:7" x14ac:dyDescent="0.25">
      <c r="A168">
        <v>108.52500000000001</v>
      </c>
      <c r="D168">
        <v>30.169</v>
      </c>
      <c r="E168">
        <v>88.798000000000002</v>
      </c>
      <c r="F168">
        <v>74.656999999999996</v>
      </c>
      <c r="G168">
        <v>41.53</v>
      </c>
    </row>
    <row r="169" spans="1:7" x14ac:dyDescent="0.25">
      <c r="A169">
        <v>111.694</v>
      </c>
      <c r="D169">
        <v>31.425999999999998</v>
      </c>
      <c r="E169">
        <v>42.41</v>
      </c>
      <c r="F169">
        <v>79.876999999999995</v>
      </c>
      <c r="G169">
        <v>51.404000000000003</v>
      </c>
    </row>
    <row r="170" spans="1:7" x14ac:dyDescent="0.25">
      <c r="A170">
        <v>121.36799999999999</v>
      </c>
      <c r="D170">
        <v>34.869999999999997</v>
      </c>
      <c r="E170">
        <v>67.284999999999997</v>
      </c>
      <c r="F170">
        <v>56.981000000000002</v>
      </c>
      <c r="G170">
        <v>57.284999999999997</v>
      </c>
    </row>
    <row r="171" spans="1:7" x14ac:dyDescent="0.25">
      <c r="A171">
        <v>90.259</v>
      </c>
      <c r="D171">
        <v>36.753999999999998</v>
      </c>
      <c r="E171">
        <v>36.442</v>
      </c>
      <c r="F171">
        <v>50.661999999999999</v>
      </c>
      <c r="G171">
        <v>56.387999999999998</v>
      </c>
    </row>
    <row r="172" spans="1:7" x14ac:dyDescent="0.25">
      <c r="A172">
        <v>118.08</v>
      </c>
      <c r="D172">
        <v>44.826000000000001</v>
      </c>
      <c r="E172">
        <v>26.006</v>
      </c>
      <c r="F172">
        <v>50.523000000000003</v>
      </c>
      <c r="G172">
        <v>51.478999999999999</v>
      </c>
    </row>
    <row r="173" spans="1:7" x14ac:dyDescent="0.25">
      <c r="A173">
        <v>115.79300000000001</v>
      </c>
      <c r="D173">
        <v>54.127000000000002</v>
      </c>
      <c r="F173">
        <v>51.984999999999999</v>
      </c>
      <c r="G173">
        <v>49.567999999999998</v>
      </c>
    </row>
    <row r="174" spans="1:7" x14ac:dyDescent="0.25">
      <c r="A174">
        <v>125.447</v>
      </c>
      <c r="D174">
        <v>40.973999999999997</v>
      </c>
      <c r="F174">
        <v>60.070999999999998</v>
      </c>
      <c r="G174">
        <v>31.516999999999999</v>
      </c>
    </row>
    <row r="175" spans="1:7" x14ac:dyDescent="0.25">
      <c r="A175">
        <v>130.25</v>
      </c>
      <c r="D175">
        <v>71.400999999999996</v>
      </c>
      <c r="F175">
        <v>71.156000000000006</v>
      </c>
      <c r="G175">
        <v>28.652000000000001</v>
      </c>
    </row>
    <row r="176" spans="1:7" x14ac:dyDescent="0.25">
      <c r="A176">
        <v>75.116</v>
      </c>
      <c r="D176">
        <v>72.983999999999995</v>
      </c>
      <c r="F176">
        <v>44.259</v>
      </c>
      <c r="G176">
        <v>37.613</v>
      </c>
    </row>
    <row r="177" spans="1:7" x14ac:dyDescent="0.25">
      <c r="A177">
        <v>77.734999999999999</v>
      </c>
      <c r="D177">
        <v>42.631999999999998</v>
      </c>
      <c r="F177">
        <v>51.667000000000002</v>
      </c>
      <c r="G177">
        <v>57.552</v>
      </c>
    </row>
    <row r="178" spans="1:7" x14ac:dyDescent="0.25">
      <c r="A178">
        <v>94.445999999999998</v>
      </c>
      <c r="D178">
        <v>39.896999999999998</v>
      </c>
      <c r="F178">
        <v>52.472999999999999</v>
      </c>
      <c r="G178">
        <v>56.692</v>
      </c>
    </row>
    <row r="179" spans="1:7" x14ac:dyDescent="0.25">
      <c r="A179">
        <v>105.96599999999999</v>
      </c>
      <c r="D179">
        <v>49.039000000000001</v>
      </c>
      <c r="F179">
        <v>30.158999999999999</v>
      </c>
      <c r="G179">
        <v>49.523000000000003</v>
      </c>
    </row>
    <row r="180" spans="1:7" x14ac:dyDescent="0.25">
      <c r="A180">
        <v>66.259</v>
      </c>
      <c r="D180">
        <v>27.507999999999999</v>
      </c>
      <c r="F180">
        <v>46.94</v>
      </c>
      <c r="G180">
        <v>24.388999999999999</v>
      </c>
    </row>
    <row r="181" spans="1:7" x14ac:dyDescent="0.25">
      <c r="A181">
        <v>84.777000000000001</v>
      </c>
      <c r="D181">
        <v>48.838000000000001</v>
      </c>
      <c r="F181">
        <v>36.881999999999998</v>
      </c>
      <c r="G181">
        <v>46.094999999999999</v>
      </c>
    </row>
    <row r="182" spans="1:7" x14ac:dyDescent="0.25">
      <c r="A182">
        <v>83.275999999999996</v>
      </c>
      <c r="D182">
        <v>46.351999999999997</v>
      </c>
      <c r="F182">
        <v>38.648000000000003</v>
      </c>
      <c r="G182">
        <v>34.771000000000001</v>
      </c>
    </row>
    <row r="183" spans="1:7" x14ac:dyDescent="0.25">
      <c r="A183">
        <v>105.90300000000001</v>
      </c>
      <c r="D183">
        <v>17.352</v>
      </c>
      <c r="F183">
        <v>54.481999999999999</v>
      </c>
      <c r="G183">
        <v>38.801000000000002</v>
      </c>
    </row>
    <row r="184" spans="1:7" x14ac:dyDescent="0.25">
      <c r="A184">
        <v>85.484999999999999</v>
      </c>
      <c r="D184">
        <v>48.707999999999998</v>
      </c>
      <c r="F184">
        <v>47.957999999999998</v>
      </c>
      <c r="G184">
        <v>44.354999999999997</v>
      </c>
    </row>
    <row r="185" spans="1:7" x14ac:dyDescent="0.25">
      <c r="A185">
        <v>93.567999999999998</v>
      </c>
      <c r="D185">
        <v>101.623</v>
      </c>
      <c r="F185">
        <v>28.94</v>
      </c>
      <c r="G185">
        <v>55.531999999999996</v>
      </c>
    </row>
    <row r="186" spans="1:7" x14ac:dyDescent="0.25">
      <c r="A186">
        <v>93.861000000000004</v>
      </c>
      <c r="D186">
        <v>91.856999999999999</v>
      </c>
      <c r="F186">
        <v>25.152000000000001</v>
      </c>
      <c r="G186">
        <v>46.031999999999996</v>
      </c>
    </row>
    <row r="187" spans="1:7" x14ac:dyDescent="0.25">
      <c r="A187">
        <v>146.226</v>
      </c>
      <c r="D187">
        <v>93.715000000000003</v>
      </c>
      <c r="F187">
        <v>53.292999999999999</v>
      </c>
      <c r="G187">
        <v>36.332000000000001</v>
      </c>
    </row>
    <row r="188" spans="1:7" x14ac:dyDescent="0.25">
      <c r="A188">
        <v>108.586</v>
      </c>
      <c r="D188">
        <v>89.369</v>
      </c>
      <c r="F188">
        <v>50.87</v>
      </c>
      <c r="G188">
        <v>35.459000000000003</v>
      </c>
    </row>
    <row r="189" spans="1:7" x14ac:dyDescent="0.25">
      <c r="A189">
        <v>97.418000000000006</v>
      </c>
      <c r="D189">
        <v>95.022999999999996</v>
      </c>
      <c r="F189">
        <v>41.207000000000001</v>
      </c>
      <c r="G189">
        <v>52.869</v>
      </c>
    </row>
    <row r="190" spans="1:7" x14ac:dyDescent="0.25">
      <c r="A190">
        <v>63.954000000000001</v>
      </c>
      <c r="D190">
        <v>108.164</v>
      </c>
      <c r="F190">
        <v>43.841999999999999</v>
      </c>
      <c r="G190">
        <v>68.328000000000003</v>
      </c>
    </row>
    <row r="191" spans="1:7" x14ac:dyDescent="0.25">
      <c r="A191">
        <v>98.174000000000007</v>
      </c>
      <c r="D191">
        <v>103.053</v>
      </c>
      <c r="F191">
        <v>48.341999999999999</v>
      </c>
      <c r="G191">
        <v>53.603999999999999</v>
      </c>
    </row>
    <row r="192" spans="1:7" x14ac:dyDescent="0.25">
      <c r="A192">
        <v>140.547</v>
      </c>
      <c r="D192">
        <v>72.998000000000005</v>
      </c>
      <c r="F192">
        <v>46.265000000000001</v>
      </c>
      <c r="G192">
        <v>53.34</v>
      </c>
    </row>
    <row r="193" spans="1:7" x14ac:dyDescent="0.25">
      <c r="A193">
        <v>77.308999999999997</v>
      </c>
      <c r="D193">
        <v>54.148000000000003</v>
      </c>
      <c r="F193">
        <v>54.798000000000002</v>
      </c>
      <c r="G193">
        <v>61.65</v>
      </c>
    </row>
    <row r="194" spans="1:7" x14ac:dyDescent="0.25">
      <c r="A194">
        <v>83.02</v>
      </c>
      <c r="D194">
        <v>22.227</v>
      </c>
      <c r="F194">
        <v>44.802999999999997</v>
      </c>
      <c r="G194">
        <v>51.338000000000001</v>
      </c>
    </row>
    <row r="195" spans="1:7" x14ac:dyDescent="0.25">
      <c r="A195">
        <v>82.643000000000001</v>
      </c>
      <c r="D195">
        <v>50.008000000000003</v>
      </c>
      <c r="F195">
        <v>29.081</v>
      </c>
      <c r="G195">
        <v>62.073</v>
      </c>
    </row>
    <row r="196" spans="1:7" x14ac:dyDescent="0.25">
      <c r="A196">
        <v>86.043000000000006</v>
      </c>
      <c r="D196">
        <v>47.274000000000001</v>
      </c>
      <c r="F196">
        <v>37.305999999999997</v>
      </c>
      <c r="G196">
        <v>60.63</v>
      </c>
    </row>
    <row r="197" spans="1:7" x14ac:dyDescent="0.25">
      <c r="A197">
        <v>100.703</v>
      </c>
      <c r="D197">
        <v>45.997999999999998</v>
      </c>
      <c r="F197">
        <v>33.878</v>
      </c>
      <c r="G197">
        <v>54.584000000000003</v>
      </c>
    </row>
    <row r="198" spans="1:7" x14ac:dyDescent="0.25">
      <c r="A198">
        <v>104.429</v>
      </c>
      <c r="D198">
        <v>42.372999999999998</v>
      </c>
      <c r="F198">
        <v>35.527000000000001</v>
      </c>
      <c r="G198">
        <v>50.197000000000003</v>
      </c>
    </row>
    <row r="199" spans="1:7" x14ac:dyDescent="0.25">
      <c r="A199">
        <v>64.45</v>
      </c>
      <c r="D199">
        <v>76.3</v>
      </c>
      <c r="F199">
        <v>39.087000000000003</v>
      </c>
      <c r="G199">
        <v>43.584000000000003</v>
      </c>
    </row>
    <row r="200" spans="1:7" x14ac:dyDescent="0.25">
      <c r="A200">
        <v>97.406999999999996</v>
      </c>
      <c r="D200">
        <v>86.978999999999999</v>
      </c>
      <c r="F200">
        <v>37.667999999999999</v>
      </c>
      <c r="G200">
        <v>56.896999999999998</v>
      </c>
    </row>
    <row r="201" spans="1:7" x14ac:dyDescent="0.25">
      <c r="A201">
        <v>91.971000000000004</v>
      </c>
      <c r="D201">
        <v>51.753</v>
      </c>
      <c r="F201">
        <v>42.664000000000001</v>
      </c>
      <c r="G201">
        <v>46.524000000000001</v>
      </c>
    </row>
    <row r="202" spans="1:7" x14ac:dyDescent="0.25">
      <c r="A202">
        <v>98.45</v>
      </c>
      <c r="D202">
        <v>81.254999999999995</v>
      </c>
      <c r="F202">
        <v>39.576000000000001</v>
      </c>
      <c r="G202">
        <v>55.853999999999999</v>
      </c>
    </row>
    <row r="203" spans="1:7" x14ac:dyDescent="0.25">
      <c r="A203">
        <v>35.01</v>
      </c>
      <c r="D203">
        <v>65.744</v>
      </c>
      <c r="F203">
        <v>29.515999999999998</v>
      </c>
      <c r="G203">
        <v>50.165999999999997</v>
      </c>
    </row>
    <row r="204" spans="1:7" x14ac:dyDescent="0.25">
      <c r="A204">
        <v>88.582999999999998</v>
      </c>
      <c r="D204">
        <v>53.317</v>
      </c>
      <c r="F204">
        <v>45.256999999999998</v>
      </c>
      <c r="G204">
        <v>45.148000000000003</v>
      </c>
    </row>
    <row r="205" spans="1:7" x14ac:dyDescent="0.25">
      <c r="A205">
        <v>22.399000000000001</v>
      </c>
      <c r="D205">
        <v>16.262</v>
      </c>
      <c r="F205">
        <v>31.77</v>
      </c>
      <c r="G205">
        <v>49.92</v>
      </c>
    </row>
    <row r="206" spans="1:7" x14ac:dyDescent="0.25">
      <c r="A206">
        <v>13.6</v>
      </c>
      <c r="D206">
        <v>41.643999999999998</v>
      </c>
      <c r="F206">
        <v>30.748999999999999</v>
      </c>
      <c r="G206">
        <v>40.33</v>
      </c>
    </row>
    <row r="207" spans="1:7" x14ac:dyDescent="0.25">
      <c r="A207">
        <v>18.655999999999999</v>
      </c>
      <c r="D207">
        <v>57.158999999999999</v>
      </c>
      <c r="F207">
        <v>36.802</v>
      </c>
      <c r="G207">
        <v>58.006</v>
      </c>
    </row>
    <row r="208" spans="1:7" x14ac:dyDescent="0.25">
      <c r="A208">
        <v>23.463999999999999</v>
      </c>
      <c r="D208">
        <v>106.99</v>
      </c>
      <c r="F208">
        <v>41.188000000000002</v>
      </c>
      <c r="G208">
        <v>55.036999999999999</v>
      </c>
    </row>
    <row r="209" spans="1:7" x14ac:dyDescent="0.25">
      <c r="A209">
        <v>20.012</v>
      </c>
      <c r="D209">
        <v>39.295999999999999</v>
      </c>
      <c r="G209">
        <v>40.258000000000003</v>
      </c>
    </row>
    <row r="210" spans="1:7" x14ac:dyDescent="0.25">
      <c r="A210">
        <v>8.3819999999999997</v>
      </c>
      <c r="D210">
        <v>96.685000000000002</v>
      </c>
      <c r="G210">
        <v>60.412999999999997</v>
      </c>
    </row>
    <row r="211" spans="1:7" x14ac:dyDescent="0.25">
      <c r="A211">
        <v>18.108000000000001</v>
      </c>
      <c r="D211">
        <v>52.781999999999996</v>
      </c>
    </row>
    <row r="212" spans="1:7" x14ac:dyDescent="0.25">
      <c r="A212">
        <v>12.022</v>
      </c>
      <c r="D212">
        <v>18.363</v>
      </c>
    </row>
    <row r="213" spans="1:7" x14ac:dyDescent="0.25">
      <c r="A213">
        <v>9.8130000000000006</v>
      </c>
      <c r="D213">
        <v>51.774999999999999</v>
      </c>
    </row>
    <row r="214" spans="1:7" x14ac:dyDescent="0.25">
      <c r="A214">
        <v>16.553000000000001</v>
      </c>
      <c r="D214">
        <v>90.570999999999998</v>
      </c>
    </row>
    <row r="215" spans="1:7" x14ac:dyDescent="0.25">
      <c r="A215">
        <v>8.1219999999999999</v>
      </c>
      <c r="D215">
        <v>24.125</v>
      </c>
    </row>
    <row r="216" spans="1:7" x14ac:dyDescent="0.25">
      <c r="A216">
        <v>25.152999999999999</v>
      </c>
      <c r="D216">
        <v>47.609000000000002</v>
      </c>
    </row>
    <row r="217" spans="1:7" x14ac:dyDescent="0.25">
      <c r="A217">
        <v>6.5789999999999997</v>
      </c>
      <c r="D217">
        <v>67.709999999999994</v>
      </c>
    </row>
    <row r="218" spans="1:7" x14ac:dyDescent="0.25">
      <c r="A218">
        <v>19.847000000000001</v>
      </c>
      <c r="D218">
        <v>78.349000000000004</v>
      </c>
    </row>
    <row r="219" spans="1:7" x14ac:dyDescent="0.25">
      <c r="A219">
        <v>14.27</v>
      </c>
      <c r="D219">
        <v>99.171000000000006</v>
      </c>
    </row>
    <row r="220" spans="1:7" x14ac:dyDescent="0.25">
      <c r="A220">
        <v>19.43</v>
      </c>
      <c r="D220">
        <v>81.168999999999997</v>
      </c>
    </row>
    <row r="221" spans="1:7" x14ac:dyDescent="0.25">
      <c r="A221">
        <v>4.6749999999999998</v>
      </c>
      <c r="D221">
        <v>24.201000000000001</v>
      </c>
    </row>
    <row r="222" spans="1:7" x14ac:dyDescent="0.25">
      <c r="A222">
        <v>10.028</v>
      </c>
      <c r="D222">
        <v>93.582999999999998</v>
      </c>
    </row>
    <row r="223" spans="1:7" x14ac:dyDescent="0.25">
      <c r="A223">
        <v>25.507000000000001</v>
      </c>
      <c r="D223">
        <v>101.878</v>
      </c>
    </row>
    <row r="224" spans="1:7" x14ac:dyDescent="0.25">
      <c r="A224">
        <v>27.946000000000002</v>
      </c>
      <c r="D224">
        <v>94.2</v>
      </c>
    </row>
    <row r="225" spans="1:8" x14ac:dyDescent="0.25">
      <c r="A225">
        <v>24.372</v>
      </c>
      <c r="D225">
        <v>114.193</v>
      </c>
    </row>
    <row r="226" spans="1:8" x14ac:dyDescent="0.25">
      <c r="A226">
        <v>10.099</v>
      </c>
      <c r="D226">
        <v>35.271999999999998</v>
      </c>
    </row>
    <row r="227" spans="1:8" x14ac:dyDescent="0.25">
      <c r="A227">
        <v>9.141</v>
      </c>
      <c r="D227">
        <v>37.878999999999998</v>
      </c>
    </row>
    <row r="228" spans="1:8" x14ac:dyDescent="0.25">
      <c r="A228">
        <v>19.672999999999998</v>
      </c>
    </row>
    <row r="229" spans="1:8" x14ac:dyDescent="0.25">
      <c r="A229">
        <v>9.14</v>
      </c>
    </row>
    <row r="230" spans="1:8" x14ac:dyDescent="0.25">
      <c r="A230">
        <v>5.2530000000000001</v>
      </c>
    </row>
    <row r="231" spans="1:8" x14ac:dyDescent="0.25">
      <c r="A231">
        <v>9.8650000000000002</v>
      </c>
    </row>
    <row r="232" spans="1:8" x14ac:dyDescent="0.25">
      <c r="A232">
        <v>12</v>
      </c>
    </row>
    <row r="233" spans="1:8" x14ac:dyDescent="0.25">
      <c r="A233">
        <v>7.5490000000000004</v>
      </c>
    </row>
    <row r="234" spans="1:8" x14ac:dyDescent="0.25">
      <c r="A234">
        <v>10.054</v>
      </c>
    </row>
    <row r="235" spans="1:8" x14ac:dyDescent="0.25">
      <c r="A235">
        <v>4.827</v>
      </c>
    </row>
    <row r="236" spans="1:8" x14ac:dyDescent="0.25">
      <c r="A236">
        <v>10.797000000000001</v>
      </c>
    </row>
    <row r="237" spans="1:8" x14ac:dyDescent="0.25">
      <c r="A237">
        <v>12.426</v>
      </c>
    </row>
    <row r="238" spans="1:8" x14ac:dyDescent="0.25">
      <c r="A238">
        <v>5.9539999999999997</v>
      </c>
    </row>
    <row r="239" spans="1:8" x14ac:dyDescent="0.25">
      <c r="A239">
        <v>14.544</v>
      </c>
    </row>
    <row r="240" spans="1:8" x14ac:dyDescent="0.25">
      <c r="A240" s="1">
        <v>6.5170000000000003</v>
      </c>
      <c r="B240" s="1"/>
      <c r="C240" s="1"/>
      <c r="D240" s="1"/>
      <c r="E240" s="1"/>
      <c r="F240" s="1"/>
      <c r="G240" s="1"/>
      <c r="H2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5</vt:i4>
      </vt:variant>
    </vt:vector>
  </HeadingPairs>
  <TitlesOfParts>
    <vt:vector size="5" baseType="lpstr">
      <vt:lpstr>Tablica</vt:lpstr>
      <vt:lpstr>ANOVA</vt:lpstr>
      <vt:lpstr>Turkey-Kramer</vt:lpstr>
      <vt:lpstr>raw</vt:lpstr>
      <vt:lpstr>raw2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Bartulin</dc:creator>
  <cp:lastModifiedBy>Andrej Bartulin</cp:lastModifiedBy>
  <dcterms:created xsi:type="dcterms:W3CDTF">2026-02-21T07:23:12Z</dcterms:created>
  <dcterms:modified xsi:type="dcterms:W3CDTF">2026-06-17T11:18:35Z</dcterms:modified>
</cp:coreProperties>
</file>